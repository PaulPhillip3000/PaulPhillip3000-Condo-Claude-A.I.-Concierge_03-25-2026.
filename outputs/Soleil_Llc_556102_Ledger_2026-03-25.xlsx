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of Account" sheetId="1" state="visible" r:id="rId1"/>
    <sheet xmlns:r="http://schemas.openxmlformats.org/officeDocument/2006/relationships" name="NOLA-Ledger" sheetId="2" state="visible" r:id="rId2"/>
    <sheet xmlns:r="http://schemas.openxmlformats.org/officeDocument/2006/relationships" name="Association Ledger" sheetId="3" state="visible" r:id="rId3"/>
    <sheet xmlns:r="http://schemas.openxmlformats.org/officeDocument/2006/relationships" name="Unit Owner Profile" sheetId="4" state="visible" r:id="rId4"/>
    <sheet xmlns:r="http://schemas.openxmlformats.org/officeDocument/2006/relationships" name="Compliance Checklist" sheetId="5" state="visible" r:id="rId5"/>
    <sheet xmlns:r="http://schemas.openxmlformats.org/officeDocument/2006/relationships" name="NOLA Validation" sheetId="6" state="visible" r:id="rId6"/>
    <sheet xmlns:r="http://schemas.openxmlformats.org/officeDocument/2006/relationships" name="Financial Variab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9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2"/>
    </font>
    <font>
      <i val="1"/>
      <sz val="8"/>
    </font>
    <font>
      <b val="1"/>
      <color rgb="00FFFFFF"/>
      <sz val="10"/>
    </font>
    <font>
      <b val="1"/>
      <i val="1"/>
      <color rgb="00FFFFFF"/>
      <sz val="9"/>
    </font>
    <font>
      <i val="1"/>
      <color rgb="00999999"/>
      <sz val="9"/>
    </font>
    <font>
      <color rgb="00444444"/>
      <sz val="9"/>
    </font>
    <font>
      <b val="1"/>
      <sz val="10"/>
    </font>
    <font>
      <b val="1"/>
      <color rgb="001B2A4A"/>
      <sz val="10"/>
    </font>
    <font>
      <b val="1"/>
      <sz val="11"/>
    </font>
    <font>
      <b val="1"/>
      <color rgb="00000000"/>
      <sz val="10"/>
    </font>
    <font>
      <b val="1"/>
      <color rgb="00000000"/>
      <sz val="11"/>
    </font>
    <font>
      <b val="1"/>
      <color rgb="001B2A4A"/>
      <sz val="9"/>
    </font>
    <font>
      <sz val="9"/>
    </font>
    <font>
      <b val="1"/>
      <sz val="9"/>
    </font>
    <font>
      <b val="1"/>
      <i val="1"/>
      <color rgb="00595959"/>
      <sz val="8"/>
    </font>
    <font>
      <b val="1"/>
      <color rgb="00FF0000"/>
      <sz val="9"/>
    </font>
  </fonts>
  <fills count="12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FD700"/>
        <bgColor rgb="00FFD700"/>
      </patternFill>
    </fill>
    <fill>
      <patternFill patternType="solid">
        <fgColor rgb="00E8E8E8"/>
        <bgColor rgb="00E8E8E8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B4C6E7"/>
        <bgColor rgb="00B4C6E7"/>
      </patternFill>
    </fill>
    <fill>
      <patternFill patternType="solid">
        <fgColor rgb="00DCE6F1"/>
        <bgColor rgb="00DCE6F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164" fontId="0" fillId="0" borderId="0" pivotButton="0" quotePrefix="0" xfId="0"/>
    <xf numFmtId="0" fontId="16" fillId="0" borderId="0" pivotButton="0" quotePrefix="0" xfId="0"/>
    <xf numFmtId="0" fontId="5" fillId="2" borderId="1" applyAlignment="1" pivotButton="0" quotePrefix="0" xfId="0">
      <alignment horizontal="center" wrapText="1"/>
    </xf>
    <xf numFmtId="0" fontId="6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center"/>
    </xf>
    <xf numFmtId="164" fontId="7" fillId="4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  <xf numFmtId="164" fontId="8" fillId="5" borderId="1" applyAlignment="1" pivotButton="0" quotePrefix="0" xfId="0">
      <alignment vertical="center"/>
    </xf>
    <xf numFmtId="0" fontId="9" fillId="6" borderId="1" applyAlignment="1" pivotButton="0" quotePrefix="0" xfId="0">
      <alignment vertical="center"/>
    </xf>
    <xf numFmtId="4" fontId="9" fillId="6" borderId="1" applyAlignment="1" pivotButton="0" quotePrefix="0" xfId="0">
      <alignment vertical="center"/>
    </xf>
    <xf numFmtId="164" fontId="9" fillId="6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10" fillId="7" borderId="1" applyAlignment="1" pivotButton="0" quotePrefix="0" xfId="0">
      <alignment vertical="center"/>
    </xf>
    <xf numFmtId="164" fontId="10" fillId="7" borderId="1" applyAlignment="1" pivotButton="0" quotePrefix="0" xfId="0">
      <alignment vertical="center"/>
    </xf>
    <xf numFmtId="0" fontId="11" fillId="3" borderId="1" applyAlignment="1" pivotButton="0" quotePrefix="0" xfId="0">
      <alignment horizontal="center"/>
    </xf>
    <xf numFmtId="4" fontId="11" fillId="3" borderId="1" applyAlignment="1" pivotButton="0" quotePrefix="0" xfId="0">
      <alignment horizontal="center"/>
    </xf>
    <xf numFmtId="164" fontId="11" fillId="3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  <xf numFmtId="0" fontId="12" fillId="8" borderId="1" pivotButton="0" quotePrefix="0" xfId="0"/>
    <xf numFmtId="164" fontId="12" fillId="8" borderId="1" pivotButton="0" quotePrefix="0" xfId="0"/>
    <xf numFmtId="0" fontId="13" fillId="3" borderId="1" pivotButton="0" quotePrefix="0" xfId="0"/>
    <xf numFmtId="164" fontId="13" fillId="3" borderId="1" pivotButton="0" quotePrefix="0" xfId="0"/>
    <xf numFmtId="0" fontId="17" fillId="8" borderId="0" pivotButton="0" quotePrefix="0" xfId="0"/>
    <xf numFmtId="0" fontId="9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5" fillId="2" borderId="1" pivotButton="0" quotePrefix="0" xfId="0"/>
    <xf numFmtId="0" fontId="0" fillId="9" borderId="1" pivotButton="0" quotePrefix="0" xfId="0"/>
    <xf numFmtId="0" fontId="18" fillId="10" borderId="1" pivotButton="0" quotePrefix="0" xfId="0"/>
    <xf numFmtId="0" fontId="0" fillId="11" borderId="1" pivotButton="0" quotePrefix="0" xfId="0"/>
    <xf numFmtId="0" fontId="16" fillId="0" borderId="1" applyAlignment="1" pivotButton="0" quotePrefix="0" xfId="0">
      <alignment vertical="center" wrapText="1"/>
    </xf>
    <xf numFmtId="0" fontId="15" fillId="0" borderId="1" applyAlignment="1" pivotButton="0" quotePrefix="0" xfId="0">
      <alignment vertical="center" wrapText="1"/>
    </xf>
    <xf numFmtId="0" fontId="9" fillId="9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11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</cols>
  <sheetData>
    <row r="1">
      <c r="A1" s="1" t="inlineStr">
        <is>
          <t>Description</t>
        </is>
      </c>
      <c r="B1" s="1" t="inlineStr">
        <is>
          <t>Amount ($)</t>
        </is>
      </c>
    </row>
    <row r="2">
      <c r="A2" s="2" t="inlineStr">
        <is>
          <t>Maintenance due including April 1, 2026:</t>
        </is>
      </c>
      <c r="B2" s="2" t="inlineStr">
        <is>
          <t>$2,152.00</t>
        </is>
      </c>
    </row>
    <row r="3">
      <c r="A3" s="2" t="inlineStr">
        <is>
          <t>Special assessments due including April 1, 2026:</t>
        </is>
      </c>
      <c r="B3" s="2" t="inlineStr">
        <is>
          <t>$0.00</t>
        </is>
      </c>
    </row>
    <row r="4">
      <c r="A4" s="2" t="inlineStr">
        <is>
          <t>Late fees, if applicable:</t>
        </is>
      </c>
      <c r="B4" s="2" t="inlineStr">
        <is>
          <t>$0.00</t>
        </is>
      </c>
    </row>
    <row r="5">
      <c r="A5" s="2" t="inlineStr">
        <is>
          <t>Other charges:</t>
        </is>
      </c>
      <c r="B5" s="2" t="inlineStr">
        <is>
          <t>$0.00</t>
        </is>
      </c>
    </row>
    <row r="6">
      <c r="A6" s="2" t="inlineStr">
        <is>
          <t>Certified mail charges:</t>
        </is>
      </c>
      <c r="B6" s="2" t="inlineStr">
        <is>
          <t>$40.00</t>
        </is>
      </c>
    </row>
    <row r="7">
      <c r="A7" s="2" t="inlineStr">
        <is>
          <t>Other costs:</t>
        </is>
      </c>
      <c r="B7" s="2" t="inlineStr">
        <is>
          <t>$16.00</t>
        </is>
      </c>
    </row>
    <row r="8">
      <c r="A8" s="2" t="inlineStr">
        <is>
          <t>Attorney's fees:</t>
        </is>
      </c>
      <c r="B8" s="2" t="inlineStr">
        <is>
          <t>$400.00</t>
        </is>
      </c>
    </row>
    <row r="9">
      <c r="A9" s="2" t="inlineStr">
        <is>
          <t>Partial Payment:</t>
        </is>
      </c>
      <c r="B9" s="2" t="inlineStr">
        <is>
          <t>$0.00</t>
        </is>
      </c>
    </row>
    <row r="10">
      <c r="A10" s="3" t="inlineStr">
        <is>
          <t>TOTAL OUTSTANDING:</t>
        </is>
      </c>
      <c r="B10" s="3" t="inlineStr">
        <is>
          <t>$2,608.00</t>
        </is>
      </c>
    </row>
    <row r="12">
      <c r="A12" s="4" t="inlineStr">
        <is>
          <t>NOLA Date: August 28, 2025 | NOLA Opening Balance: $1345.00 | Prepared: March 25, 2026</t>
        </is>
      </c>
    </row>
    <row r="14">
      <c r="A14" s="5" t="inlineStr">
        <is>
          <t>CROSS-SHEET VERIFICATION (SOA vs NOLA-Ledger)</t>
        </is>
      </c>
    </row>
    <row r="15">
      <c r="A15" s="6" t="inlineStr">
        <is>
          <t>SOA Total Outstanding</t>
        </is>
      </c>
      <c r="B15" s="7">
        <f>B10</f>
        <v/>
      </c>
    </row>
    <row r="16">
      <c r="A16" s="6" t="inlineStr">
        <is>
          <t>NOLA-Ledger Net Balance Due</t>
        </is>
      </c>
      <c r="B16" s="7">
        <f>'NOLA-Ledger'!N22</f>
        <v/>
      </c>
    </row>
    <row r="17">
      <c r="A17" s="6" t="inlineStr">
        <is>
          <t>Variance</t>
        </is>
      </c>
      <c r="B17" s="7">
        <f>B15-B16</f>
        <v/>
      </c>
    </row>
    <row r="18">
      <c r="A18" s="8" t="inlineStr">
        <is>
          <t>Status</t>
        </is>
      </c>
      <c r="B18" s="8">
        <f>IF(ABS(B17)&lt;0.01,"✓ VERIFIED — Sheets match","✗ MISMATCH — Review required")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42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4" customWidth="1" min="12" max="12"/>
    <col width="12" customWidth="1" min="13" max="13"/>
    <col width="20" customWidth="1" min="14" max="14"/>
    <col width="22" customWidth="1" min="15" max="15"/>
  </cols>
  <sheetData>
    <row r="1">
      <c r="A1" s="9" t="inlineStr">
        <is>
          <t>#</t>
        </is>
      </c>
      <c r="B1" s="9" t="inlineStr">
        <is>
          <t>Date</t>
        </is>
      </c>
      <c r="C1" s="9" t="inlineStr">
        <is>
          <t>Description</t>
        </is>
      </c>
      <c r="D1" s="9" t="inlineStr">
        <is>
          <t>Type</t>
        </is>
      </c>
      <c r="E1" s="9" t="inlineStr">
        <is>
          <t>Maintenance ($)</t>
        </is>
      </c>
      <c r="F1" s="9" t="inlineStr">
        <is>
          <t>Special Asmt ($)</t>
        </is>
      </c>
      <c r="G1" s="9" t="inlineStr">
        <is>
          <t>Water/Utility ($)</t>
        </is>
      </c>
      <c r="H1" s="9" t="inlineStr">
        <is>
          <t>Interest ($)</t>
        </is>
      </c>
      <c r="I1" s="9" t="inlineStr">
        <is>
          <t>Late Fees ($)</t>
        </is>
      </c>
      <c r="J1" s="9" t="inlineStr">
        <is>
          <t>Legal/Atty ($)</t>
        </is>
      </c>
      <c r="K1" s="9" t="inlineStr">
        <is>
          <t>Other ($)</t>
        </is>
      </c>
      <c r="L1" s="9" t="inlineStr">
        <is>
          <t>Payments ($)</t>
        </is>
      </c>
      <c r="M1" s="9" t="inlineStr">
        <is>
          <t>Credits ($)</t>
        </is>
      </c>
      <c r="N1" s="9" t="inlineStr">
        <is>
          <t>Running Balance ($)</t>
        </is>
      </c>
      <c r="O1" s="9" t="inlineStr">
        <is>
          <t>Notes</t>
        </is>
      </c>
    </row>
    <row r="2">
      <c r="A2" s="10" t="inlineStr"/>
      <c r="B2" s="10" t="inlineStr"/>
      <c r="C2" s="10" t="inlineStr">
        <is>
          <t>── PRE-NOLA LEDGER HISTORY ──</t>
        </is>
      </c>
      <c r="D2" s="10" t="inlineStr">
        <is>
          <t>Separator</t>
        </is>
      </c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>
        <is>
          <t>Context: charges leading to NOLA balance</t>
        </is>
      </c>
    </row>
    <row r="3">
      <c r="A3" s="11" t="n">
        <v>1</v>
      </c>
      <c r="B3" s="11" t="inlineStr">
        <is>
          <t>01/01/2025</t>
        </is>
      </c>
      <c r="C3" s="11" t="inlineStr">
        <is>
          <t>Maintenance Fee 2025</t>
        </is>
      </c>
      <c r="D3" s="11" t="inlineStr">
        <is>
          <t>Regular Assessment</t>
        </is>
      </c>
      <c r="E3" s="11" t="n">
        <v>269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2">
        <f>E3+F3+G3+H3+I3+J3+K3-L3-M3</f>
        <v/>
      </c>
      <c r="O3" s="11" t="inlineStr"/>
    </row>
    <row r="4">
      <c r="A4" s="11" t="n">
        <v>2</v>
      </c>
      <c r="B4" s="11" t="inlineStr">
        <is>
          <t>01/06/2025</t>
        </is>
      </c>
      <c r="C4" s="11" t="inlineStr">
        <is>
          <t>eCheck</t>
        </is>
      </c>
      <c r="D4" s="11" t="inlineStr">
        <is>
          <t>Payment Received</t>
        </is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269</v>
      </c>
      <c r="M4" s="11" t="n">
        <v>0</v>
      </c>
      <c r="N4" s="12">
        <f>N3+E4+F4+G4+H4+I4+J4+K4-L4-M4</f>
        <v/>
      </c>
      <c r="O4" s="11" t="inlineStr"/>
    </row>
    <row r="5">
      <c r="A5" s="11" t="n">
        <v>3</v>
      </c>
      <c r="B5" s="11" t="inlineStr">
        <is>
          <t>02/01/2025</t>
        </is>
      </c>
      <c r="C5" s="11" t="inlineStr">
        <is>
          <t>Maintenance Fee 2025</t>
        </is>
      </c>
      <c r="D5" s="11" t="inlineStr">
        <is>
          <t>Regular Assessment</t>
        </is>
      </c>
      <c r="E5" s="11" t="n">
        <v>269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2">
        <f>N4+E5+F5+G5+H5+I5+J5+K5-L5-M5</f>
        <v/>
      </c>
      <c r="O5" s="11" t="inlineStr"/>
    </row>
    <row r="6">
      <c r="A6" s="11" t="n">
        <v>4</v>
      </c>
      <c r="B6" s="11" t="inlineStr">
        <is>
          <t>02/06/2025</t>
        </is>
      </c>
      <c r="C6" s="11" t="inlineStr">
        <is>
          <t>eCheck</t>
        </is>
      </c>
      <c r="D6" s="11" t="inlineStr">
        <is>
          <t>Payment Received</t>
        </is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269</v>
      </c>
      <c r="M6" s="11" t="n">
        <v>0</v>
      </c>
      <c r="N6" s="12">
        <f>N5+E6+F6+G6+H6+I6+J6+K6-L6-M6</f>
        <v/>
      </c>
      <c r="O6" s="11" t="inlineStr"/>
    </row>
    <row r="7">
      <c r="A7" s="11" t="n">
        <v>5</v>
      </c>
      <c r="B7" s="11" t="inlineStr">
        <is>
          <t>03/01/2025</t>
        </is>
      </c>
      <c r="C7" s="11" t="inlineStr">
        <is>
          <t>Maintenance Fee 2025</t>
        </is>
      </c>
      <c r="D7" s="11" t="inlineStr">
        <is>
          <t>Regular Assessment</t>
        </is>
      </c>
      <c r="E7" s="11" t="n">
        <v>269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2">
        <f>N6+E7+F7+G7+H7+I7+J7+K7-L7-M7</f>
        <v/>
      </c>
      <c r="O7" s="11" t="inlineStr"/>
    </row>
    <row r="8">
      <c r="A8" s="11" t="n">
        <v>6</v>
      </c>
      <c r="B8" s="11" t="inlineStr">
        <is>
          <t>03/06/2025</t>
        </is>
      </c>
      <c r="C8" s="11" t="inlineStr">
        <is>
          <t>eCheck</t>
        </is>
      </c>
      <c r="D8" s="11" t="inlineStr">
        <is>
          <t>Payment Received</t>
        </is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269</v>
      </c>
      <c r="M8" s="11" t="n">
        <v>0</v>
      </c>
      <c r="N8" s="12">
        <f>N7+E8+F8+G8+H8+I8+J8+K8-L8-M8</f>
        <v/>
      </c>
      <c r="O8" s="11" t="inlineStr"/>
    </row>
    <row r="9">
      <c r="A9" s="13" t="n">
        <v>7</v>
      </c>
      <c r="B9" s="13" t="inlineStr">
        <is>
          <t>04/01/2025</t>
        </is>
      </c>
      <c r="C9" s="13" t="inlineStr">
        <is>
          <t>Maintenance Fee 2025</t>
        </is>
      </c>
      <c r="D9" s="13" t="inlineStr">
        <is>
          <t>Regular Assessment</t>
        </is>
      </c>
      <c r="E9" s="13" t="n">
        <v>269</v>
      </c>
      <c r="F9" s="13" t="n">
        <v>0</v>
      </c>
      <c r="G9" s="13" t="n">
        <v>0</v>
      </c>
      <c r="H9" s="13" t="n">
        <v>0</v>
      </c>
      <c r="I9" s="13" t="n">
        <v>0</v>
      </c>
      <c r="J9" s="13" t="n">
        <v>0</v>
      </c>
      <c r="K9" s="13" t="n">
        <v>0</v>
      </c>
      <c r="L9" s="13" t="n">
        <v>0</v>
      </c>
      <c r="M9" s="13" t="n">
        <v>0</v>
      </c>
      <c r="N9" s="14">
        <f>N8+E9+F9+G9+H9+I9+J9+K9-L9-M9</f>
        <v/>
      </c>
      <c r="O9" s="13" t="inlineStr"/>
    </row>
    <row r="10">
      <c r="A10" s="13" t="n">
        <v>8</v>
      </c>
      <c r="B10" s="13" t="inlineStr">
        <is>
          <t>05/01/2025</t>
        </is>
      </c>
      <c r="C10" s="13" t="inlineStr">
        <is>
          <t>Maintenance Fee 2025</t>
        </is>
      </c>
      <c r="D10" s="13" t="inlineStr">
        <is>
          <t>Regular Assessment</t>
        </is>
      </c>
      <c r="E10" s="13" t="n">
        <v>269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0</v>
      </c>
      <c r="M10" s="13" t="n">
        <v>0</v>
      </c>
      <c r="N10" s="14">
        <f>N9+E10+F10+G10+H10+I10+J10+K10-L10-M10</f>
        <v/>
      </c>
      <c r="O10" s="13" t="inlineStr"/>
    </row>
    <row r="11">
      <c r="A11" s="13" t="n">
        <v>9</v>
      </c>
      <c r="B11" s="13" t="inlineStr">
        <is>
          <t>06/01/2025</t>
        </is>
      </c>
      <c r="C11" s="13" t="inlineStr">
        <is>
          <t>Maintenance Fee 2025</t>
        </is>
      </c>
      <c r="D11" s="13" t="inlineStr">
        <is>
          <t>Regular Assessment</t>
        </is>
      </c>
      <c r="E11" s="13" t="n">
        <v>269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N11" s="14">
        <f>N10+E11+F11+G11+H11+I11+J11+K11-L11-M11</f>
        <v/>
      </c>
      <c r="O11" s="13" t="inlineStr"/>
    </row>
    <row r="12">
      <c r="A12" s="13" t="n">
        <v>10</v>
      </c>
      <c r="B12" s="13" t="inlineStr">
        <is>
          <t>07/01/2025</t>
        </is>
      </c>
      <c r="C12" s="13" t="inlineStr">
        <is>
          <t>Maintenance Fee 2025</t>
        </is>
      </c>
      <c r="D12" s="13" t="inlineStr">
        <is>
          <t>Regular Assessment</t>
        </is>
      </c>
      <c r="E12" s="13" t="n">
        <v>269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N12" s="14">
        <f>N11+E12+F12+G12+H12+I12+J12+K12-L12-M12</f>
        <v/>
      </c>
      <c r="O12" s="13" t="inlineStr"/>
    </row>
    <row r="13">
      <c r="A13" s="13" t="n">
        <v>11</v>
      </c>
      <c r="B13" s="13" t="inlineStr">
        <is>
          <t>08/01/2025</t>
        </is>
      </c>
      <c r="C13" s="13" t="inlineStr">
        <is>
          <t>Maintenance Fee 2025</t>
        </is>
      </c>
      <c r="D13" s="13" t="inlineStr">
        <is>
          <t>Regular Assessment</t>
        </is>
      </c>
      <c r="E13" s="13" t="n">
        <v>269</v>
      </c>
      <c r="F13" s="13" t="n">
        <v>0</v>
      </c>
      <c r="G13" s="13" t="n">
        <v>0</v>
      </c>
      <c r="H13" s="13" t="n">
        <v>0</v>
      </c>
      <c r="I13" s="13" t="n">
        <v>0</v>
      </c>
      <c r="J13" s="13" t="n">
        <v>0</v>
      </c>
      <c r="K13" s="13" t="n">
        <v>0</v>
      </c>
      <c r="L13" s="13" t="n">
        <v>0</v>
      </c>
      <c r="M13" s="13" t="n">
        <v>0</v>
      </c>
      <c r="N13" s="14">
        <f>N12+E13+F13+G13+H13+I13+J13+K13-L13-M13</f>
        <v/>
      </c>
      <c r="O13" s="13" t="inlineStr"/>
    </row>
    <row r="14">
      <c r="A14" s="15" t="n">
        <v>12</v>
      </c>
      <c r="B14" s="15" t="inlineStr">
        <is>
          <t>08/28/2025</t>
        </is>
      </c>
      <c r="C14" s="15" t="inlineStr">
        <is>
          <t>Balance per Notice of Late Assessment (NOLA) — August 28, 2025 [source: stated_total]</t>
        </is>
      </c>
      <c r="D14" s="15" t="inlineStr">
        <is>
          <t>Previous Balance</t>
        </is>
      </c>
      <c r="E14" s="16" t="n">
        <v>1345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0</v>
      </c>
      <c r="M14" s="16" t="n">
        <v>0</v>
      </c>
      <c r="N14" s="17">
        <f>E14+F14+G14+H14+I14+J14+K14-L14-M14</f>
        <v/>
      </c>
      <c r="O14" s="15" t="inlineStr">
        <is>
          <t>NOLA ground truth opening balance — do not modify</t>
        </is>
      </c>
    </row>
    <row r="15">
      <c r="A15" s="18" t="n">
        <v>13</v>
      </c>
      <c r="B15" s="18" t="inlineStr">
        <is>
          <t>09/01/2025</t>
        </is>
      </c>
      <c r="C15" s="18" t="inlineStr">
        <is>
          <t>Maintenance Fee 2025</t>
        </is>
      </c>
      <c r="D15" s="18" t="inlineStr">
        <is>
          <t>Regular Assessment</t>
        </is>
      </c>
      <c r="E15" s="18" t="n">
        <v>269</v>
      </c>
      <c r="F15" s="18" t="n">
        <v>0</v>
      </c>
      <c r="G15" s="18" t="n">
        <v>0</v>
      </c>
      <c r="H15" s="18" t="n">
        <v>0</v>
      </c>
      <c r="I15" s="18" t="n">
        <v>0</v>
      </c>
      <c r="J15" s="18" t="n">
        <v>0</v>
      </c>
      <c r="K15" s="18" t="n">
        <v>0</v>
      </c>
      <c r="L15" s="18" t="n">
        <v>0</v>
      </c>
      <c r="M15" s="18" t="n">
        <v>0</v>
      </c>
      <c r="N15" s="19">
        <f>N14+E15+F15+G15+H15+I15+J15+K15-L15-M15</f>
        <v/>
      </c>
      <c r="O15" s="18" t="inlineStr"/>
    </row>
    <row r="16">
      <c r="A16" s="18" t="n">
        <v>14</v>
      </c>
      <c r="B16" s="18" t="inlineStr">
        <is>
          <t>10/01/2025</t>
        </is>
      </c>
      <c r="C16" s="18" t="inlineStr">
        <is>
          <t>Maintenance Fee 2025</t>
        </is>
      </c>
      <c r="D16" s="18" t="inlineStr">
        <is>
          <t>Regular Assessment</t>
        </is>
      </c>
      <c r="E16" s="18" t="n">
        <v>269</v>
      </c>
      <c r="F16" s="18" t="n">
        <v>0</v>
      </c>
      <c r="G16" s="18" t="n">
        <v>0</v>
      </c>
      <c r="H16" s="18" t="n">
        <v>0</v>
      </c>
      <c r="I16" s="18" t="n">
        <v>0</v>
      </c>
      <c r="J16" s="18" t="n">
        <v>0</v>
      </c>
      <c r="K16" s="18" t="n">
        <v>0</v>
      </c>
      <c r="L16" s="18" t="n">
        <v>0</v>
      </c>
      <c r="M16" s="18" t="n">
        <v>0</v>
      </c>
      <c r="N16" s="19">
        <f>N15+E16+F16+G16+H16+I16+J16+K16-L16-M16</f>
        <v/>
      </c>
      <c r="O16" s="18" t="inlineStr"/>
    </row>
    <row r="17">
      <c r="A17" s="18" t="n">
        <v>15</v>
      </c>
      <c r="B17" s="18" t="inlineStr">
        <is>
          <t>11/01/2025</t>
        </is>
      </c>
      <c r="C17" s="18" t="inlineStr">
        <is>
          <t>Maintenance Fee 2025</t>
        </is>
      </c>
      <c r="D17" s="18" t="inlineStr">
        <is>
          <t>Regular Assessment</t>
        </is>
      </c>
      <c r="E17" s="18" t="n">
        <v>269</v>
      </c>
      <c r="F17" s="18" t="n">
        <v>0</v>
      </c>
      <c r="G17" s="18" t="n">
        <v>0</v>
      </c>
      <c r="H17" s="18" t="n">
        <v>0</v>
      </c>
      <c r="I17" s="18" t="n">
        <v>0</v>
      </c>
      <c r="J17" s="18" t="n">
        <v>0</v>
      </c>
      <c r="K17" s="18" t="n">
        <v>0</v>
      </c>
      <c r="L17" s="18" t="n">
        <v>0</v>
      </c>
      <c r="M17" s="18" t="n">
        <v>0</v>
      </c>
      <c r="N17" s="19">
        <f>N16+E17+F17+G17+H17+I17+J17+K17-L17-M17</f>
        <v/>
      </c>
      <c r="O17" s="18" t="inlineStr"/>
    </row>
    <row r="18">
      <c r="A18" s="18" t="n">
        <v>16</v>
      </c>
      <c r="B18" s="18" t="inlineStr">
        <is>
          <t>03/25/2026</t>
        </is>
      </c>
      <c r="C18" s="18" t="inlineStr">
        <is>
          <t>Certified Mail / Service Charges</t>
        </is>
      </c>
      <c r="D18" s="18" t="inlineStr">
        <is>
          <t>Other</t>
        </is>
      </c>
      <c r="E18" s="18" t="n">
        <v>0</v>
      </c>
      <c r="F18" s="18" t="n">
        <v>0</v>
      </c>
      <c r="G18" s="18" t="n">
        <v>0</v>
      </c>
      <c r="H18" s="18" t="n">
        <v>0</v>
      </c>
      <c r="I18" s="18" t="n">
        <v>0</v>
      </c>
      <c r="J18" s="18" t="n">
        <v>0</v>
      </c>
      <c r="K18" s="18" t="n">
        <v>40</v>
      </c>
      <c r="L18" s="18" t="n">
        <v>0</v>
      </c>
      <c r="M18" s="18" t="n">
        <v>0</v>
      </c>
      <c r="N18" s="19">
        <f>N17+E18+F18+G18+H18+I18+J18+K18-L18-M18</f>
        <v/>
      </c>
      <c r="O18" s="18" t="inlineStr">
        <is>
          <t>CondoClaw Auto-Applied</t>
        </is>
      </c>
    </row>
    <row r="19">
      <c r="A19" s="18" t="n">
        <v>17</v>
      </c>
      <c r="B19" s="18" t="inlineStr">
        <is>
          <t>03/25/2026</t>
        </is>
      </c>
      <c r="C19" s="18" t="inlineStr">
        <is>
          <t>Other Attorney Costs</t>
        </is>
      </c>
      <c r="D19" s="18" t="inlineStr">
        <is>
          <t>Other</t>
        </is>
      </c>
      <c r="E19" s="18" t="n">
        <v>0</v>
      </c>
      <c r="F19" s="18" t="n">
        <v>0</v>
      </c>
      <c r="G19" s="18" t="n">
        <v>0</v>
      </c>
      <c r="H19" s="18" t="n">
        <v>0</v>
      </c>
      <c r="I19" s="18" t="n">
        <v>0</v>
      </c>
      <c r="J19" s="18" t="n">
        <v>0</v>
      </c>
      <c r="K19" s="18" t="n">
        <v>16</v>
      </c>
      <c r="L19" s="18" t="n">
        <v>0</v>
      </c>
      <c r="M19" s="18" t="n">
        <v>0</v>
      </c>
      <c r="N19" s="19">
        <f>N18+E19+F19+G19+H19+I19+J19+K19-L19-M19</f>
        <v/>
      </c>
      <c r="O19" s="18" t="inlineStr">
        <is>
          <t>CondoClaw Auto-Applied</t>
        </is>
      </c>
    </row>
    <row r="20">
      <c r="A20" s="18" t="n">
        <v>18</v>
      </c>
      <c r="B20" s="18" t="inlineStr">
        <is>
          <t>03/25/2026</t>
        </is>
      </c>
      <c r="C20" s="18" t="inlineStr">
        <is>
          <t>Attorney's Fees</t>
        </is>
      </c>
      <c r="D20" s="18" t="inlineStr">
        <is>
          <t>Attorney Fee</t>
        </is>
      </c>
      <c r="E20" s="18" t="n">
        <v>0</v>
      </c>
      <c r="F20" s="18" t="n">
        <v>0</v>
      </c>
      <c r="G20" s="18" t="n">
        <v>0</v>
      </c>
      <c r="H20" s="18" t="n">
        <v>0</v>
      </c>
      <c r="I20" s="18" t="n">
        <v>0</v>
      </c>
      <c r="J20" s="18" t="n">
        <v>400</v>
      </c>
      <c r="K20" s="18" t="n">
        <v>0</v>
      </c>
      <c r="L20" s="18" t="n">
        <v>0</v>
      </c>
      <c r="M20" s="18" t="n">
        <v>0</v>
      </c>
      <c r="N20" s="19">
        <f>N19+E20+F20+G20+H20+I20+J20+K20-L20-M20</f>
        <v/>
      </c>
      <c r="O20" s="18" t="inlineStr">
        <is>
          <t>CondoClaw Auto-Applied</t>
        </is>
      </c>
    </row>
    <row r="21">
      <c r="A21" s="20" t="inlineStr"/>
      <c r="B21" s="20" t="inlineStr"/>
      <c r="C21" s="20" t="inlineStr">
        <is>
          <t>CURRENT BALANCE (per uploaded ledger — reference only)</t>
        </is>
      </c>
      <c r="D21" s="20" t="inlineStr">
        <is>
          <t>Current Balance</t>
        </is>
      </c>
      <c r="E21" s="20" t="n">
        <v>0</v>
      </c>
      <c r="F21" s="20" t="n">
        <v>0</v>
      </c>
      <c r="G21" s="20" t="n">
        <v>0</v>
      </c>
      <c r="H21" s="20" t="n">
        <v>0</v>
      </c>
      <c r="I21" s="20" t="n">
        <v>0</v>
      </c>
      <c r="J21" s="20" t="n">
        <v>0</v>
      </c>
      <c r="K21" s="20" t="n">
        <v>0</v>
      </c>
      <c r="L21" s="20" t="n">
        <v>0</v>
      </c>
      <c r="M21" s="20" t="n">
        <v>0</v>
      </c>
      <c r="N21" s="21" t="n">
        <v>2152</v>
      </c>
      <c r="O21" s="20" t="inlineStr">
        <is>
          <t>REFERENCE ONLY — not included in totals</t>
        </is>
      </c>
    </row>
    <row r="22">
      <c r="A22" s="22" t="inlineStr"/>
      <c r="B22" s="22" t="inlineStr"/>
      <c r="C22" s="22" t="inlineStr">
        <is>
          <t>TOTALS</t>
        </is>
      </c>
      <c r="D22" s="22" t="inlineStr"/>
      <c r="E22" s="23">
        <f>SUM(E14:E20)</f>
        <v/>
      </c>
      <c r="F22" s="23">
        <f>SUM(F14:F20)</f>
        <v/>
      </c>
      <c r="G22" s="23">
        <f>SUM(G14:G20)</f>
        <v/>
      </c>
      <c r="H22" s="23">
        <f>SUM(H14:H20)</f>
        <v/>
      </c>
      <c r="I22" s="23">
        <f>SUM(I14:I20)</f>
        <v/>
      </c>
      <c r="J22" s="23">
        <f>SUM(J14:J20)</f>
        <v/>
      </c>
      <c r="K22" s="23">
        <f>SUM(K14:K20)</f>
        <v/>
      </c>
      <c r="L22" s="23">
        <f>SUM(L14:L20)</f>
        <v/>
      </c>
      <c r="M22" s="23">
        <f>SUM(M14:M20)</f>
        <v/>
      </c>
      <c r="N22" s="24">
        <f>N20</f>
        <v/>
      </c>
      <c r="O22" s="25" t="n"/>
    </row>
    <row r="24">
      <c r="A24" s="26" t="inlineStr">
        <is>
          <t>TOTALS SUMMARY</t>
        </is>
      </c>
      <c r="B24" s="26" t="inlineStr"/>
    </row>
    <row r="25">
      <c r="A25" s="27" t="inlineStr">
        <is>
          <t>Total Maintenance</t>
        </is>
      </c>
      <c r="B25" s="28">
        <f>E22</f>
        <v/>
      </c>
    </row>
    <row r="26">
      <c r="A26" s="27" t="inlineStr">
        <is>
          <t>Total Special Asmt</t>
        </is>
      </c>
      <c r="B26" s="28">
        <f>F22</f>
        <v/>
      </c>
    </row>
    <row r="27">
      <c r="A27" s="27" t="inlineStr">
        <is>
          <t>Total Water/Utility</t>
        </is>
      </c>
      <c r="B27" s="28">
        <f>G22</f>
        <v/>
      </c>
    </row>
    <row r="28">
      <c r="A28" s="27" t="inlineStr">
        <is>
          <t>Total Interest</t>
        </is>
      </c>
      <c r="B28" s="28">
        <f>H22</f>
        <v/>
      </c>
    </row>
    <row r="29">
      <c r="A29" s="27" t="inlineStr">
        <is>
          <t>Total Late Fees</t>
        </is>
      </c>
      <c r="B29" s="28">
        <f>I22</f>
        <v/>
      </c>
    </row>
    <row r="30">
      <c r="A30" s="27" t="inlineStr">
        <is>
          <t>Total Legal/Atty</t>
        </is>
      </c>
      <c r="B30" s="28">
        <f>J22</f>
        <v/>
      </c>
    </row>
    <row r="31">
      <c r="A31" s="27" t="inlineStr">
        <is>
          <t>Total Other Charges</t>
        </is>
      </c>
      <c r="B31" s="28">
        <f>K22</f>
        <v/>
      </c>
    </row>
    <row r="32">
      <c r="A32" s="27" t="inlineStr">
        <is>
          <t>Total Payments</t>
        </is>
      </c>
      <c r="B32" s="28">
        <f>-L22</f>
        <v/>
      </c>
    </row>
    <row r="33">
      <c r="A33" s="27" t="inlineStr">
        <is>
          <t>Total Credits</t>
        </is>
      </c>
      <c r="B33" s="28">
        <f>-M22</f>
        <v/>
      </c>
    </row>
    <row r="34">
      <c r="A34" s="29" t="inlineStr">
        <is>
          <t>NET BALANCE DUE</t>
        </is>
      </c>
      <c r="B34" s="30">
        <f>N22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42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4" customWidth="1" min="12" max="12"/>
    <col width="12" customWidth="1" min="13" max="13"/>
    <col width="20" customWidth="1" min="14" max="14"/>
    <col width="22" customWidth="1" min="15" max="15"/>
  </cols>
  <sheetData>
    <row r="1">
      <c r="A1" s="9" t="inlineStr">
        <is>
          <t>#</t>
        </is>
      </c>
      <c r="B1" s="9" t="inlineStr">
        <is>
          <t>Date</t>
        </is>
      </c>
      <c r="C1" s="9" t="inlineStr">
        <is>
          <t>Description</t>
        </is>
      </c>
      <c r="D1" s="9" t="inlineStr">
        <is>
          <t>Type</t>
        </is>
      </c>
      <c r="E1" s="9" t="inlineStr">
        <is>
          <t>Maintenance ($)</t>
        </is>
      </c>
      <c r="F1" s="9" t="inlineStr">
        <is>
          <t>Special Asmt ($)</t>
        </is>
      </c>
      <c r="G1" s="9" t="inlineStr">
        <is>
          <t>Water/Utility ($)</t>
        </is>
      </c>
      <c r="H1" s="9" t="inlineStr">
        <is>
          <t>Interest ($)</t>
        </is>
      </c>
      <c r="I1" s="9" t="inlineStr">
        <is>
          <t>Late Fees ($)</t>
        </is>
      </c>
      <c r="J1" s="9" t="inlineStr">
        <is>
          <t>Legal/Atty ($)</t>
        </is>
      </c>
      <c r="K1" s="9" t="inlineStr">
        <is>
          <t>Other ($)</t>
        </is>
      </c>
      <c r="L1" s="9" t="inlineStr">
        <is>
          <t>Payments ($)</t>
        </is>
      </c>
      <c r="M1" s="9" t="inlineStr">
        <is>
          <t>Credits ($)</t>
        </is>
      </c>
      <c r="N1" s="9" t="inlineStr">
        <is>
          <t>Running Balance ($)</t>
        </is>
      </c>
      <c r="O1" s="9" t="inlineStr">
        <is>
          <t>Notes</t>
        </is>
      </c>
    </row>
    <row r="2">
      <c r="A2" s="18" t="n">
        <v>1</v>
      </c>
      <c r="B2" s="18" t="inlineStr">
        <is>
          <t>01/01/2025</t>
        </is>
      </c>
      <c r="C2" s="18" t="inlineStr">
        <is>
          <t>Maintenance Fee 2025</t>
        </is>
      </c>
      <c r="D2" s="18" t="inlineStr">
        <is>
          <t>Regular Assessment</t>
        </is>
      </c>
      <c r="E2" s="18" t="n">
        <v>269</v>
      </c>
      <c r="F2" s="18" t="inlineStr"/>
      <c r="G2" s="18" t="inlineStr"/>
      <c r="H2" s="18" t="inlineStr"/>
      <c r="I2" s="18" t="inlineStr"/>
      <c r="J2" s="18" t="inlineStr"/>
      <c r="K2" s="18" t="inlineStr"/>
      <c r="L2" s="18" t="inlineStr"/>
      <c r="M2" s="18" t="inlineStr"/>
      <c r="N2" s="18" t="n">
        <v>269</v>
      </c>
      <c r="O2" s="18" t="inlineStr"/>
    </row>
    <row r="3">
      <c r="A3" s="18" t="n">
        <v>2</v>
      </c>
      <c r="B3" s="18" t="inlineStr">
        <is>
          <t>01/06/2025</t>
        </is>
      </c>
      <c r="C3" s="18" t="inlineStr">
        <is>
          <t>eCheck</t>
        </is>
      </c>
      <c r="D3" s="18" t="inlineStr">
        <is>
          <t>Payment Received</t>
        </is>
      </c>
      <c r="E3" s="18" t="inlineStr"/>
      <c r="F3" s="18" t="inlineStr"/>
      <c r="G3" s="18" t="inlineStr"/>
      <c r="H3" s="18" t="inlineStr"/>
      <c r="I3" s="18" t="inlineStr"/>
      <c r="J3" s="18" t="inlineStr"/>
      <c r="K3" s="18" t="inlineStr"/>
      <c r="L3" s="18" t="n">
        <v>269</v>
      </c>
      <c r="M3" s="18" t="inlineStr"/>
      <c r="N3" s="18" t="n">
        <v>0</v>
      </c>
      <c r="O3" s="18" t="inlineStr"/>
    </row>
    <row r="4">
      <c r="A4" s="18" t="n">
        <v>3</v>
      </c>
      <c r="B4" s="18" t="inlineStr">
        <is>
          <t>02/01/2025</t>
        </is>
      </c>
      <c r="C4" s="18" t="inlineStr">
        <is>
          <t>Maintenance Fee 2025</t>
        </is>
      </c>
      <c r="D4" s="18" t="inlineStr">
        <is>
          <t>Regular Assessment</t>
        </is>
      </c>
      <c r="E4" s="18" t="n">
        <v>269</v>
      </c>
      <c r="F4" s="18" t="inlineStr"/>
      <c r="G4" s="18" t="inlineStr"/>
      <c r="H4" s="18" t="inlineStr"/>
      <c r="I4" s="18" t="inlineStr"/>
      <c r="J4" s="18" t="inlineStr"/>
      <c r="K4" s="18" t="inlineStr"/>
      <c r="L4" s="18" t="inlineStr"/>
      <c r="M4" s="18" t="inlineStr"/>
      <c r="N4" s="18" t="n">
        <v>269</v>
      </c>
      <c r="O4" s="18" t="inlineStr"/>
    </row>
    <row r="5">
      <c r="A5" s="18" t="n">
        <v>4</v>
      </c>
      <c r="B5" s="18" t="inlineStr">
        <is>
          <t>02/06/2025</t>
        </is>
      </c>
      <c r="C5" s="18" t="inlineStr">
        <is>
          <t>eCheck</t>
        </is>
      </c>
      <c r="D5" s="18" t="inlineStr">
        <is>
          <t>Payment Received</t>
        </is>
      </c>
      <c r="E5" s="18" t="inlineStr"/>
      <c r="F5" s="18" t="inlineStr"/>
      <c r="G5" s="18" t="inlineStr"/>
      <c r="H5" s="18" t="inlineStr"/>
      <c r="I5" s="18" t="inlineStr"/>
      <c r="J5" s="18" t="inlineStr"/>
      <c r="K5" s="18" t="inlineStr"/>
      <c r="L5" s="18" t="n">
        <v>269</v>
      </c>
      <c r="M5" s="18" t="inlineStr"/>
      <c r="N5" s="18" t="n">
        <v>0</v>
      </c>
      <c r="O5" s="18" t="inlineStr"/>
    </row>
    <row r="6">
      <c r="A6" s="18" t="n">
        <v>5</v>
      </c>
      <c r="B6" s="18" t="inlineStr">
        <is>
          <t>03/01/2025</t>
        </is>
      </c>
      <c r="C6" s="18" t="inlineStr">
        <is>
          <t>Maintenance Fee 2025</t>
        </is>
      </c>
      <c r="D6" s="18" t="inlineStr">
        <is>
          <t>Regular Assessment</t>
        </is>
      </c>
      <c r="E6" s="18" t="n">
        <v>269</v>
      </c>
      <c r="F6" s="18" t="inlineStr"/>
      <c r="G6" s="18" t="inlineStr"/>
      <c r="H6" s="18" t="inlineStr"/>
      <c r="I6" s="18" t="inlineStr"/>
      <c r="J6" s="18" t="inlineStr"/>
      <c r="K6" s="18" t="inlineStr"/>
      <c r="L6" s="18" t="inlineStr"/>
      <c r="M6" s="18" t="inlineStr"/>
      <c r="N6" s="18" t="n">
        <v>269</v>
      </c>
      <c r="O6" s="18" t="inlineStr"/>
    </row>
    <row r="7">
      <c r="A7" s="18" t="n">
        <v>6</v>
      </c>
      <c r="B7" s="18" t="inlineStr">
        <is>
          <t>03/06/2025</t>
        </is>
      </c>
      <c r="C7" s="18" t="inlineStr">
        <is>
          <t>eCheck</t>
        </is>
      </c>
      <c r="D7" s="18" t="inlineStr">
        <is>
          <t>Payment Received</t>
        </is>
      </c>
      <c r="E7" s="18" t="inlineStr"/>
      <c r="F7" s="18" t="inlineStr"/>
      <c r="G7" s="18" t="inlineStr"/>
      <c r="H7" s="18" t="inlineStr"/>
      <c r="I7" s="18" t="inlineStr"/>
      <c r="J7" s="18" t="inlineStr"/>
      <c r="K7" s="18" t="inlineStr"/>
      <c r="L7" s="18" t="n">
        <v>269</v>
      </c>
      <c r="M7" s="18" t="inlineStr"/>
      <c r="N7" s="18" t="n">
        <v>0</v>
      </c>
      <c r="O7" s="18" t="inlineStr"/>
    </row>
    <row r="8">
      <c r="A8" s="18" t="n">
        <v>7</v>
      </c>
      <c r="B8" s="18" t="inlineStr">
        <is>
          <t>04/01/2025</t>
        </is>
      </c>
      <c r="C8" s="18" t="inlineStr">
        <is>
          <t>Maintenance Fee 2025</t>
        </is>
      </c>
      <c r="D8" s="18" t="inlineStr">
        <is>
          <t>Regular Assessment</t>
        </is>
      </c>
      <c r="E8" s="18" t="n">
        <v>269</v>
      </c>
      <c r="F8" s="18" t="inlineStr"/>
      <c r="G8" s="18" t="inlineStr"/>
      <c r="H8" s="18" t="inlineStr"/>
      <c r="I8" s="18" t="inlineStr"/>
      <c r="J8" s="18" t="inlineStr"/>
      <c r="K8" s="18" t="inlineStr"/>
      <c r="L8" s="18" t="inlineStr"/>
      <c r="M8" s="18" t="inlineStr"/>
      <c r="N8" s="18" t="n">
        <v>269</v>
      </c>
      <c r="O8" s="18" t="inlineStr"/>
    </row>
    <row r="9">
      <c r="A9" s="18" t="n">
        <v>8</v>
      </c>
      <c r="B9" s="18" t="inlineStr">
        <is>
          <t>05/01/2025</t>
        </is>
      </c>
      <c r="C9" s="18" t="inlineStr">
        <is>
          <t>Maintenance Fee 2025</t>
        </is>
      </c>
      <c r="D9" s="18" t="inlineStr">
        <is>
          <t>Regular Assessment</t>
        </is>
      </c>
      <c r="E9" s="18" t="n">
        <v>269</v>
      </c>
      <c r="F9" s="18" t="inlineStr"/>
      <c r="G9" s="18" t="inlineStr"/>
      <c r="H9" s="18" t="inlineStr"/>
      <c r="I9" s="18" t="inlineStr"/>
      <c r="J9" s="18" t="inlineStr"/>
      <c r="K9" s="18" t="inlineStr"/>
      <c r="L9" s="18" t="inlineStr"/>
      <c r="M9" s="18" t="inlineStr"/>
      <c r="N9" s="18" t="n">
        <v>538</v>
      </c>
      <c r="O9" s="18" t="inlineStr"/>
    </row>
    <row r="10">
      <c r="A10" s="18" t="n">
        <v>9</v>
      </c>
      <c r="B10" s="18" t="inlineStr">
        <is>
          <t>06/01/2025</t>
        </is>
      </c>
      <c r="C10" s="18" t="inlineStr">
        <is>
          <t>Maintenance Fee 2025</t>
        </is>
      </c>
      <c r="D10" s="18" t="inlineStr">
        <is>
          <t>Regular Assessment</t>
        </is>
      </c>
      <c r="E10" s="18" t="n">
        <v>269</v>
      </c>
      <c r="F10" s="18" t="inlineStr"/>
      <c r="G10" s="18" t="inlineStr"/>
      <c r="H10" s="18" t="inlineStr"/>
      <c r="I10" s="18" t="inlineStr"/>
      <c r="J10" s="18" t="inlineStr"/>
      <c r="K10" s="18" t="inlineStr"/>
      <c r="L10" s="18" t="inlineStr"/>
      <c r="M10" s="18" t="inlineStr"/>
      <c r="N10" s="18" t="n">
        <v>807</v>
      </c>
      <c r="O10" s="18" t="inlineStr"/>
    </row>
    <row r="11">
      <c r="A11" s="18" t="n">
        <v>10</v>
      </c>
      <c r="B11" s="18" t="inlineStr">
        <is>
          <t>07/01/2025</t>
        </is>
      </c>
      <c r="C11" s="18" t="inlineStr">
        <is>
          <t>Maintenance Fee 2025</t>
        </is>
      </c>
      <c r="D11" s="18" t="inlineStr">
        <is>
          <t>Regular Assessment</t>
        </is>
      </c>
      <c r="E11" s="18" t="n">
        <v>269</v>
      </c>
      <c r="F11" s="18" t="inlineStr"/>
      <c r="G11" s="18" t="inlineStr"/>
      <c r="H11" s="18" t="inlineStr"/>
      <c r="I11" s="18" t="inlineStr"/>
      <c r="J11" s="18" t="inlineStr"/>
      <c r="K11" s="18" t="inlineStr"/>
      <c r="L11" s="18" t="inlineStr"/>
      <c r="M11" s="18" t="inlineStr"/>
      <c r="N11" s="18" t="n">
        <v>1076</v>
      </c>
      <c r="O11" s="18" t="inlineStr"/>
    </row>
    <row r="12">
      <c r="A12" s="18" t="n">
        <v>11</v>
      </c>
      <c r="B12" s="18" t="inlineStr">
        <is>
          <t>08/01/2025</t>
        </is>
      </c>
      <c r="C12" s="18" t="inlineStr">
        <is>
          <t>Maintenance Fee 2025</t>
        </is>
      </c>
      <c r="D12" s="18" t="inlineStr">
        <is>
          <t>Regular Assessment</t>
        </is>
      </c>
      <c r="E12" s="18" t="n">
        <v>269</v>
      </c>
      <c r="F12" s="18" t="inlineStr"/>
      <c r="G12" s="18" t="inlineStr"/>
      <c r="H12" s="18" t="inlineStr"/>
      <c r="I12" s="18" t="inlineStr"/>
      <c r="J12" s="18" t="inlineStr"/>
      <c r="K12" s="18" t="inlineStr"/>
      <c r="L12" s="18" t="inlineStr"/>
      <c r="M12" s="18" t="inlineStr"/>
      <c r="N12" s="18" t="n">
        <v>1345</v>
      </c>
      <c r="O12" s="18" t="inlineStr"/>
    </row>
    <row r="13">
      <c r="A13" s="18" t="n">
        <v>12</v>
      </c>
      <c r="B13" s="18" t="inlineStr">
        <is>
          <t>09/01/2025</t>
        </is>
      </c>
      <c r="C13" s="18" t="inlineStr">
        <is>
          <t>Maintenance Fee 2025</t>
        </is>
      </c>
      <c r="D13" s="18" t="inlineStr">
        <is>
          <t>Regular Assessment</t>
        </is>
      </c>
      <c r="E13" s="18" t="n">
        <v>269</v>
      </c>
      <c r="F13" s="18" t="inlineStr"/>
      <c r="G13" s="18" t="inlineStr"/>
      <c r="H13" s="18" t="inlineStr"/>
      <c r="I13" s="18" t="inlineStr"/>
      <c r="J13" s="18" t="inlineStr"/>
      <c r="K13" s="18" t="inlineStr"/>
      <c r="L13" s="18" t="inlineStr"/>
      <c r="M13" s="18" t="inlineStr"/>
      <c r="N13" s="18" t="n">
        <v>1614</v>
      </c>
      <c r="O13" s="18" t="inlineStr"/>
    </row>
    <row r="14">
      <c r="A14" s="18" t="n">
        <v>13</v>
      </c>
      <c r="B14" s="18" t="inlineStr">
        <is>
          <t>10/01/2025</t>
        </is>
      </c>
      <c r="C14" s="18" t="inlineStr">
        <is>
          <t>Maintenance Fee 2025</t>
        </is>
      </c>
      <c r="D14" s="18" t="inlineStr">
        <is>
          <t>Regular Assessment</t>
        </is>
      </c>
      <c r="E14" s="18" t="n">
        <v>269</v>
      </c>
      <c r="F14" s="18" t="inlineStr"/>
      <c r="G14" s="18" t="inlineStr"/>
      <c r="H14" s="18" t="inlineStr"/>
      <c r="I14" s="18" t="inlineStr"/>
      <c r="J14" s="18" t="inlineStr"/>
      <c r="K14" s="18" t="inlineStr"/>
      <c r="L14" s="18" t="inlineStr"/>
      <c r="M14" s="18" t="inlineStr"/>
      <c r="N14" s="18" t="n">
        <v>1883</v>
      </c>
      <c r="O14" s="18" t="inlineStr"/>
    </row>
    <row r="15">
      <c r="A15" s="18" t="n">
        <v>14</v>
      </c>
      <c r="B15" s="18" t="inlineStr">
        <is>
          <t>11/01/2025</t>
        </is>
      </c>
      <c r="C15" s="18" t="inlineStr">
        <is>
          <t>Maintenance Fee 2025</t>
        </is>
      </c>
      <c r="D15" s="18" t="inlineStr">
        <is>
          <t>Regular Assessment</t>
        </is>
      </c>
      <c r="E15" s="18" t="n">
        <v>269</v>
      </c>
      <c r="F15" s="18" t="inlineStr"/>
      <c r="G15" s="18" t="inlineStr"/>
      <c r="H15" s="18" t="inlineStr"/>
      <c r="I15" s="18" t="inlineStr"/>
      <c r="J15" s="18" t="inlineStr"/>
      <c r="K15" s="18" t="inlineStr"/>
      <c r="L15" s="18" t="inlineStr"/>
      <c r="M15" s="18" t="inlineStr"/>
      <c r="N15" s="18" t="n">
        <v>2152</v>
      </c>
      <c r="O15" s="18" t="inlineStr"/>
    </row>
    <row r="17">
      <c r="A17" s="31" t="inlineStr">
        <is>
          <t>RECONCILIATION REFERENCE ONLY — This sheet reflects the uploaded management company ledger in standardized format. It is NOT used for output generation. The NOLA is the controlling dataset. (PRD §42.3)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32" t="inlineStr">
        <is>
          <t>Field</t>
        </is>
      </c>
      <c r="B1" s="33" t="inlineStr">
        <is>
          <t>Value</t>
        </is>
      </c>
    </row>
    <row r="2">
      <c r="A2" s="34" t="inlineStr">
        <is>
          <t>MATTER INFORMATION</t>
        </is>
      </c>
      <c r="B2" s="34" t="inlineStr"/>
    </row>
    <row r="3">
      <c r="A3" s="32" t="inlineStr">
        <is>
          <t>Matter ID</t>
        </is>
      </c>
      <c r="B3" s="33" t="inlineStr">
        <is>
          <t>#CC-8921</t>
        </is>
      </c>
    </row>
    <row r="4">
      <c r="A4" s="32" t="inlineStr">
        <is>
          <t>Prepared Date</t>
        </is>
      </c>
      <c r="B4" s="33" t="inlineStr">
        <is>
          <t>March 25, 2026</t>
        </is>
      </c>
    </row>
    <row r="5">
      <c r="A5" s="32" t="inlineStr">
        <is>
          <t>Ledger Through Date</t>
        </is>
      </c>
      <c r="B5" s="33" t="inlineStr">
        <is>
          <t>11/2/2025</t>
        </is>
      </c>
    </row>
    <row r="6">
      <c r="A6" s="32" t="inlineStr">
        <is>
          <t>Oldest Unpaid Date</t>
        </is>
      </c>
      <c r="B6" s="33" t="inlineStr">
        <is>
          <t>1/1/2025</t>
        </is>
      </c>
    </row>
    <row r="7">
      <c r="A7" s="32" t="inlineStr">
        <is>
          <t>Months Delinquent</t>
        </is>
      </c>
      <c r="B7" s="33" t="inlineStr"/>
    </row>
    <row r="8">
      <c r="A8" s="32" t="inlineStr">
        <is>
          <t>Ground Truth Verified</t>
        </is>
      </c>
      <c r="B8" s="33" t="inlineStr">
        <is>
          <t>Pending — Human Review Required</t>
        </is>
      </c>
    </row>
    <row r="9">
      <c r="A9" s="32" t="inlineStr"/>
      <c r="B9" s="33" t="inlineStr"/>
    </row>
    <row r="10">
      <c r="A10" s="34" t="inlineStr">
        <is>
          <t>ENTITY CLASSIFICATION</t>
        </is>
      </c>
      <c r="B10" s="34" t="inlineStr"/>
    </row>
    <row r="11">
      <c r="A11" s="32" t="inlineStr">
        <is>
          <t>Entity Type</t>
        </is>
      </c>
      <c r="B11" s="33" t="inlineStr">
        <is>
          <t>Condominium</t>
        </is>
      </c>
    </row>
    <row r="12">
      <c r="A12" s="32" t="inlineStr">
        <is>
          <t>Governing Statute</t>
        </is>
      </c>
      <c r="B12" s="33" t="inlineStr">
        <is>
          <t>Chapter 718, Florida Statutes (The Florida Condominium Act)</t>
        </is>
      </c>
    </row>
    <row r="13">
      <c r="A13" s="32" t="inlineStr">
        <is>
          <t>Lien Authority</t>
        </is>
      </c>
      <c r="B13" s="33" t="inlineStr">
        <is>
          <t>F.S. § 718.116(5)(a)</t>
        </is>
      </c>
    </row>
    <row r="14">
      <c r="A14" s="32" t="inlineStr">
        <is>
          <t>Notice Authority</t>
        </is>
      </c>
      <c r="B14" s="33" t="inlineStr">
        <is>
          <t>F.S. § 718.116(6)(b)</t>
        </is>
      </c>
    </row>
    <row r="15">
      <c r="A15" s="32" t="inlineStr">
        <is>
          <t>Interest Authority</t>
        </is>
      </c>
      <c r="B15" s="33" t="inlineStr">
        <is>
          <t>F.S. § 718.116(3)</t>
        </is>
      </c>
    </row>
    <row r="16">
      <c r="A16" s="32" t="inlineStr">
        <is>
          <t>Interest Rate</t>
        </is>
      </c>
      <c r="B16" s="33" t="inlineStr">
        <is>
          <t>18% per annum</t>
        </is>
      </c>
    </row>
    <row r="17">
      <c r="A17" s="32" t="inlineStr"/>
      <c r="B17" s="33" t="inlineStr"/>
    </row>
    <row r="18">
      <c r="A18" s="34" t="inlineStr">
        <is>
          <t>ASSOCIATION</t>
        </is>
      </c>
      <c r="B18" s="34" t="inlineStr"/>
    </row>
    <row r="19">
      <c r="A19" s="32" t="inlineStr">
        <is>
          <t>Association Name</t>
        </is>
      </c>
      <c r="B19" s="33" t="inlineStr">
        <is>
          <t>Soleil Lake Condominium Association, Inc</t>
        </is>
      </c>
    </row>
    <row r="20">
      <c r="A20" s="32" t="inlineStr">
        <is>
          <t>County</t>
        </is>
      </c>
      <c r="B20" s="33" t="inlineStr">
        <is>
          <t>Miami-Dade</t>
        </is>
      </c>
    </row>
    <row r="21">
      <c r="A21" s="32" t="inlineStr">
        <is>
          <t>Association Address</t>
        </is>
      </c>
      <c r="B21" s="33" t="inlineStr"/>
    </row>
    <row r="22">
      <c r="A22" s="32" t="inlineStr"/>
      <c r="B22" s="33" t="inlineStr"/>
    </row>
    <row r="23">
      <c r="A23" s="34" t="inlineStr">
        <is>
          <t>OWNER / UNIT</t>
        </is>
      </c>
      <c r="B23" s="34" t="inlineStr"/>
    </row>
    <row r="24">
      <c r="A24" s="32" t="inlineStr">
        <is>
          <t>Owner Name</t>
        </is>
      </c>
      <c r="B24" s="33" t="inlineStr">
        <is>
          <t>Wheaton Partners Llc</t>
        </is>
      </c>
    </row>
    <row r="25">
      <c r="A25" s="32" t="inlineStr">
        <is>
          <t>Unit / Parcel</t>
        </is>
      </c>
      <c r="B25" s="33" t="inlineStr">
        <is>
          <t>556102</t>
        </is>
      </c>
    </row>
    <row r="26">
      <c r="A26" s="32" t="inlineStr">
        <is>
          <t>Property Address</t>
        </is>
      </c>
      <c r="B26" s="33" t="inlineStr">
        <is>
          <t>556 Nw 114 Avenue Unit 102</t>
        </is>
      </c>
    </row>
    <row r="27">
      <c r="A27" s="32" t="inlineStr">
        <is>
          <t>Mailing Address</t>
        </is>
      </c>
      <c r="B27" s="33" t="inlineStr">
        <is>
          <t>556 Nw 114 Avenue Unit 102</t>
        </is>
      </c>
    </row>
    <row r="28">
      <c r="A28" s="32" t="inlineStr"/>
      <c r="B28" s="33" t="inlineStr"/>
    </row>
    <row r="29">
      <c r="A29" s="34" t="inlineStr">
        <is>
          <t>FINANCIAL SUMMARY</t>
        </is>
      </c>
      <c r="B29" s="34" t="inlineStr"/>
    </row>
    <row r="30">
      <c r="A30" s="32" t="inlineStr">
        <is>
          <t>Monthly Assessment</t>
        </is>
      </c>
      <c r="B30" s="33" t="inlineStr">
        <is>
          <t>$</t>
        </is>
      </c>
    </row>
    <row r="31">
      <c r="A31" s="32" t="inlineStr">
        <is>
          <t>Special Assessment</t>
        </is>
      </c>
      <c r="B31" s="33" t="inlineStr"/>
    </row>
    <row r="32">
      <c r="A32" s="32" t="inlineStr">
        <is>
          <t>Principal Balance</t>
        </is>
      </c>
      <c r="B32" s="33" t="inlineStr">
        <is>
          <t>$2152.0</t>
        </is>
      </c>
    </row>
    <row r="33">
      <c r="A33" s="32" t="inlineStr">
        <is>
          <t>Late Fees</t>
        </is>
      </c>
      <c r="B33" s="33" t="inlineStr">
        <is>
          <t>$0.0</t>
        </is>
      </c>
    </row>
    <row r="34">
      <c r="A34" s="32" t="inlineStr">
        <is>
          <t>Interest Accrued (18%)</t>
        </is>
      </c>
      <c r="B34" s="33" t="inlineStr">
        <is>
          <t>$0.0</t>
        </is>
      </c>
    </row>
    <row r="35">
      <c r="A35" s="32" t="inlineStr">
        <is>
          <t>Attorney Fees</t>
        </is>
      </c>
      <c r="B35" s="33" t="inlineStr">
        <is>
          <t>$0.0</t>
        </is>
      </c>
    </row>
    <row r="36">
      <c r="A36" s="32" t="inlineStr">
        <is>
          <t>Other Charges</t>
        </is>
      </c>
      <c r="B36" s="33" t="inlineStr"/>
    </row>
    <row r="37">
      <c r="A37" s="32" t="inlineStr">
        <is>
          <t>Total Credits / Payments</t>
        </is>
      </c>
      <c r="B37" s="33" t="inlineStr"/>
    </row>
    <row r="38">
      <c r="A38" s="35" t="inlineStr">
        <is>
          <t>TOTAL AMOUNT DUE</t>
        </is>
      </c>
      <c r="B38" s="35" t="inlineStr">
        <is>
          <t>$2959.00</t>
        </is>
      </c>
    </row>
    <row r="39">
      <c r="A39" s="32" t="inlineStr"/>
      <c r="B39" s="33" t="inlineStr"/>
    </row>
    <row r="40">
      <c r="A40" s="34" t="inlineStr">
        <is>
          <t>NOLA / NOTICE</t>
        </is>
      </c>
      <c r="B40" s="34" t="inlineStr"/>
    </row>
    <row r="41">
      <c r="A41" s="32" t="inlineStr">
        <is>
          <t>NOLA Date</t>
        </is>
      </c>
      <c r="B41" s="33" t="inlineStr"/>
    </row>
    <row r="42">
      <c r="A42" s="32" t="inlineStr">
        <is>
          <t>Due Date</t>
        </is>
      </c>
      <c r="B42" s="33" t="inlineStr"/>
    </row>
    <row r="43">
      <c r="A43" s="32" t="inlineStr">
        <is>
          <t>Cure Period (days)</t>
        </is>
      </c>
      <c r="B43" s="33" t="inlineStr">
        <is>
          <t>30</t>
        </is>
      </c>
    </row>
    <row r="44">
      <c r="A44" s="32" t="inlineStr">
        <is>
          <t>NOLA Reference #</t>
        </is>
      </c>
      <c r="B44" s="33" t="inlineStr">
        <is>
          <t>SOL556102</t>
        </is>
      </c>
    </row>
    <row r="45">
      <c r="A45" s="32" t="inlineStr"/>
      <c r="B45" s="33" t="inlineStr"/>
    </row>
    <row r="46">
      <c r="A46" s="34" t="inlineStr">
        <is>
          <t>MAILING / AFFIDAVIT</t>
        </is>
      </c>
      <c r="B46" s="34" t="inlineStr"/>
    </row>
    <row r="47">
      <c r="A47" s="32" t="inlineStr">
        <is>
          <t>Mailing Date</t>
        </is>
      </c>
      <c r="B47" s="33" t="inlineStr"/>
    </row>
    <row r="48">
      <c r="A48" s="32" t="inlineStr">
        <is>
          <t>Mailing Method</t>
        </is>
      </c>
      <c r="B48" s="33" t="inlineStr"/>
    </row>
    <row r="49">
      <c r="A49" s="32" t="inlineStr">
        <is>
          <t>Certified Mail #</t>
        </is>
      </c>
      <c r="B49" s="33" t="inlineStr"/>
    </row>
    <row r="50">
      <c r="A50" s="32" t="inlineStr">
        <is>
          <t>Document Mailed</t>
        </is>
      </c>
      <c r="B50" s="33" t="inlineStr"/>
    </row>
    <row r="51">
      <c r="A51" s="32" t="inlineStr">
        <is>
          <t>Affiant Name</t>
        </is>
      </c>
      <c r="B51" s="33" t="inlineStr"/>
    </row>
    <row r="52">
      <c r="A52" s="32" t="inlineStr">
        <is>
          <t>Notary Name</t>
        </is>
      </c>
      <c r="B52" s="33" t="inlineStr"/>
    </row>
    <row r="53">
      <c r="A53" s="32" t="inlineStr">
        <is>
          <t>Notary Commission Exp.</t>
        </is>
      </c>
      <c r="B53" s="33" t="inlineStr"/>
    </row>
    <row r="54">
      <c r="A54" s="32" t="inlineStr">
        <is>
          <t>Notary County</t>
        </is>
      </c>
      <c r="B54" s="33" t="inlineStr">
        <is>
          <t>Miami-Dade</t>
        </is>
      </c>
    </row>
    <row r="55">
      <c r="A55" s="32" t="inlineStr"/>
      <c r="B55" s="33" t="inlineStr"/>
    </row>
    <row r="56">
      <c r="A56" s="34" t="inlineStr">
        <is>
          <t>SOURCE FILES</t>
        </is>
      </c>
      <c r="B56" s="34" t="inlineStr"/>
    </row>
    <row r="57">
      <c r="A57" s="32" t="inlineStr">
        <is>
          <t>Source NOLA File</t>
        </is>
      </c>
      <c r="B57" s="33" t="inlineStr"/>
    </row>
    <row r="58">
      <c r="A58" s="32" t="inlineStr">
        <is>
          <t>Source Ledger File</t>
        </is>
      </c>
      <c r="B58" s="33" t="inlineStr"/>
    </row>
    <row r="59">
      <c r="A59" s="32" t="inlineStr">
        <is>
          <t>Source Affidavit File</t>
        </is>
      </c>
      <c r="B59" s="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  <col width="18" customWidth="1" min="3" max="3"/>
  </cols>
  <sheetData>
    <row r="1">
      <c r="A1" s="36" t="inlineStr">
        <is>
          <t>Compliance Item</t>
        </is>
      </c>
      <c r="B1" s="36" t="inlineStr">
        <is>
          <t>Section</t>
        </is>
      </c>
      <c r="C1" s="36" t="inlineStr">
        <is>
          <t>Status</t>
        </is>
      </c>
    </row>
    <row r="2">
      <c r="A2" s="25" t="inlineStr">
        <is>
          <t>Demand letter total consistent with NOLA (NOLA balance: $1345.00)</t>
        </is>
      </c>
      <c r="B2" s="25" t="inlineStr">
        <is>
          <t>PRD §3 / §718.116(6)(b)</t>
        </is>
      </c>
      <c r="C2" s="37" t="inlineStr">
        <is>
          <t>YES</t>
        </is>
      </c>
    </row>
    <row r="3">
      <c r="A3" s="25" t="inlineStr">
        <is>
          <t>SOA total matches NOLA-Ledger total (SOA: $2608.00 | Ledger: $2208.00)</t>
        </is>
      </c>
      <c r="B3" s="25" t="inlineStr">
        <is>
          <t>PRD §47.3</t>
        </is>
      </c>
      <c r="C3" s="38" t="inlineStr">
        <is>
          <t>FLAG — Mismatch detected</t>
        </is>
      </c>
    </row>
    <row r="4">
      <c r="A4" s="25" t="inlineStr">
        <is>
          <t>NOLA sent before lien filing</t>
        </is>
      </c>
      <c r="B4" s="25" t="inlineStr">
        <is>
          <t>§ 718.116(6)(b)</t>
        </is>
      </c>
      <c r="C4" s="39" t="inlineStr">
        <is>
          <t>PENDING</t>
        </is>
      </c>
    </row>
    <row r="5">
      <c r="A5" s="25" t="inlineStr">
        <is>
          <t>Cure period stated in NOLA</t>
        </is>
      </c>
      <c r="B5" s="25" t="inlineStr">
        <is>
          <t>§ 718.116(6)(b)</t>
        </is>
      </c>
      <c r="C5" s="37" t="inlineStr">
        <is>
          <t>YES</t>
        </is>
      </c>
    </row>
    <row r="6">
      <c r="A6" s="25" t="inlineStr">
        <is>
          <t>Total amount specifically stated</t>
        </is>
      </c>
      <c r="B6" s="25" t="inlineStr">
        <is>
          <t>§ 718.116(6)(b)(1)</t>
        </is>
      </c>
      <c r="C6" s="37" t="inlineStr">
        <is>
          <t>YES</t>
        </is>
      </c>
    </row>
    <row r="7">
      <c r="A7" s="25" t="inlineStr">
        <is>
          <t>Interest rate disclosed (18% p.a.)</t>
        </is>
      </c>
      <c r="B7" s="25" t="inlineStr">
        <is>
          <t>§ 718.116(3)</t>
        </is>
      </c>
      <c r="C7" s="39" t="inlineStr">
        <is>
          <t>VERIFY</t>
        </is>
      </c>
    </row>
    <row r="8">
      <c r="A8" s="25" t="inlineStr">
        <is>
          <t>Late charges authorized</t>
        </is>
      </c>
      <c r="B8" s="25" t="inlineStr">
        <is>
          <t>§ 718.116(6)(a)</t>
        </is>
      </c>
      <c r="C8" s="39" t="inlineStr">
        <is>
          <t>PENDING</t>
        </is>
      </c>
    </row>
    <row r="9">
      <c r="A9" s="25" t="inlineStr">
        <is>
          <t>Attorney fees authorized</t>
        </is>
      </c>
      <c r="B9" s="25" t="inlineStr">
        <is>
          <t>§ 718.116(6)(a)</t>
        </is>
      </c>
      <c r="C9" s="39" t="inlineStr">
        <is>
          <t>PENDING</t>
        </is>
      </c>
    </row>
    <row r="10">
      <c r="A10" s="25" t="inlineStr">
        <is>
          <t>Mailing affidavit obtained</t>
        </is>
      </c>
      <c r="B10" s="25" t="inlineStr">
        <is>
          <t>§ 718.116(6)(b)</t>
        </is>
      </c>
      <c r="C10" s="39" t="inlineStr">
        <is>
          <t>PENDING</t>
        </is>
      </c>
    </row>
    <row r="11">
      <c r="A11" s="25" t="inlineStr">
        <is>
          <t>Notary seal on affidavit</t>
        </is>
      </c>
      <c r="B11" s="25" t="inlineStr">
        <is>
          <t>§ 718.116(6)(b)</t>
        </is>
      </c>
      <c r="C11" s="39" t="inlineStr">
        <is>
          <t>PENDING</t>
        </is>
      </c>
    </row>
    <row r="12">
      <c r="A12" s="25" t="inlineStr">
        <is>
          <t>Certified mail number on file</t>
        </is>
      </c>
      <c r="B12" s="25" t="inlineStr">
        <is>
          <t>§ 718.116(6)(b)</t>
        </is>
      </c>
      <c r="C12" s="39" t="inlineStr">
        <is>
          <t>PENDING</t>
        </is>
      </c>
    </row>
    <row r="13">
      <c r="A13" s="25" t="inlineStr">
        <is>
          <t>Ledger period covers delinquency</t>
        </is>
      </c>
      <c r="B13" s="25" t="inlineStr">
        <is>
          <t>§ 718.116</t>
        </is>
      </c>
      <c r="C13" s="37" t="inlineStr">
        <is>
          <t>YES</t>
        </is>
      </c>
    </row>
    <row r="14">
      <c r="A14" s="25" t="inlineStr">
        <is>
          <t>First mortgagee safe harbor reviewed</t>
        </is>
      </c>
      <c r="B14" s="25" t="inlineStr">
        <is>
          <t>§ 718.116(1)(b)</t>
        </is>
      </c>
      <c r="C14" s="39" t="inlineStr">
        <is>
          <t>VERIFY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80" customWidth="1" min="2" max="2"/>
  </cols>
  <sheetData>
    <row r="1">
      <c r="A1" s="40" t="inlineStr">
        <is>
          <t>Field</t>
        </is>
      </c>
      <c r="B1" s="41" t="inlineStr">
        <is>
          <t>Value</t>
        </is>
      </c>
    </row>
    <row r="2">
      <c r="A2" s="34" t="inlineStr">
        <is>
          <t>NOLA VALIDATION</t>
        </is>
      </c>
      <c r="B2" s="34" t="inlineStr"/>
    </row>
    <row r="3">
      <c r="A3" s="40" t="inlineStr">
        <is>
          <t>NOLA Date</t>
        </is>
      </c>
      <c r="B3" s="41" t="inlineStr">
        <is>
          <t>08/28/2025</t>
        </is>
      </c>
    </row>
    <row r="4">
      <c r="A4" s="40" t="inlineStr">
        <is>
          <t>NOLA Stated Balance</t>
        </is>
      </c>
      <c r="B4" s="41" t="inlineStr">
        <is>
          <t>$1345.00</t>
        </is>
      </c>
    </row>
    <row r="5">
      <c r="A5" s="40" t="inlineStr">
        <is>
          <t>Ledger-Derived Balance (at NOLA date)</t>
        </is>
      </c>
      <c r="B5" s="41" t="inlineStr">
        <is>
          <t>$1345.00</t>
        </is>
      </c>
    </row>
    <row r="6">
      <c r="A6" s="40" t="inlineStr">
        <is>
          <t>Variance (Absolute)</t>
        </is>
      </c>
      <c r="B6" s="41" t="inlineStr">
        <is>
          <t>$0.00</t>
        </is>
      </c>
    </row>
    <row r="7">
      <c r="A7" s="40" t="inlineStr">
        <is>
          <t>Variance (%)</t>
        </is>
      </c>
      <c r="B7" s="41" t="inlineStr">
        <is>
          <t>0.00%</t>
        </is>
      </c>
    </row>
    <row r="8">
      <c r="A8" s="40" t="inlineStr"/>
      <c r="B8" s="41" t="inlineStr"/>
    </row>
    <row r="9">
      <c r="A9" s="34" t="inlineStr">
        <is>
          <t>TOLERANCE TIERS (PRD §42.5)</t>
        </is>
      </c>
      <c r="B9" s="34" t="inlineStr"/>
    </row>
    <row r="10">
      <c r="A10" s="40" t="inlineStr">
        <is>
          <t>≤ $1.00</t>
        </is>
      </c>
      <c r="B10" s="41" t="inlineStr">
        <is>
          <t>✅ Rounding — Green (no flag, proceed)</t>
        </is>
      </c>
    </row>
    <row r="11">
      <c r="A11" s="40" t="inlineStr">
        <is>
          <t>$1.01 – $50.00</t>
        </is>
      </c>
      <c r="B11" s="41" t="inlineStr">
        <is>
          <t>⚠️  Minor Variance — Yellow (attorney acknowledgment required)</t>
        </is>
      </c>
    </row>
    <row r="12">
      <c r="A12" s="40" t="inlineStr">
        <is>
          <t>&gt; $50.00</t>
        </is>
      </c>
      <c r="B12" s="41" t="inlineStr">
        <is>
          <t>🔴 Bad NOLA — Red (explicit override + logging required)</t>
        </is>
      </c>
    </row>
    <row r="13">
      <c r="A13" s="40" t="inlineStr"/>
      <c r="B13" s="41" t="inlineStr"/>
    </row>
    <row r="14">
      <c r="A14" s="34" t="inlineStr">
        <is>
          <t>DETERMINATION</t>
        </is>
      </c>
      <c r="B14" s="34" t="inlineStr"/>
    </row>
    <row r="15">
      <c r="A15" s="42" t="inlineStr">
        <is>
          <t>Status</t>
        </is>
      </c>
      <c r="B15" s="42" t="inlineStr">
        <is>
          <t>✅ GOOD NOLA — Within rounding tolerance (≤ $1.00). Proceed.</t>
        </is>
      </c>
    </row>
    <row r="16">
      <c r="A16" s="40" t="inlineStr">
        <is>
          <t>Tier</t>
        </is>
      </c>
      <c r="B16" s="41" t="inlineStr">
        <is>
          <t>GOOD</t>
        </is>
      </c>
    </row>
    <row r="17">
      <c r="A17" s="40" t="inlineStr">
        <is>
          <t>NOLA Balance Source</t>
        </is>
      </c>
      <c r="B17" s="41" t="inlineStr">
        <is>
          <t>stated_total</t>
        </is>
      </c>
    </row>
    <row r="18">
      <c r="A18" s="40" t="inlineStr"/>
      <c r="B18" s="41" t="inlineStr"/>
    </row>
    <row r="19">
      <c r="A19" s="34" t="inlineStr">
        <is>
          <t>LEGAL BASIS</t>
        </is>
      </c>
      <c r="B19" s="34" t="inlineStr"/>
    </row>
    <row r="20">
      <c r="A20" s="40" t="inlineStr">
        <is>
          <t>FL Statute</t>
        </is>
      </c>
      <c r="B20" s="41" t="inlineStr">
        <is>
          <t>F.S. 718.116(8) — Any amount overstated in estoppel is waived; no de minimis floor.</t>
        </is>
      </c>
    </row>
    <row r="21">
      <c r="A21" s="40" t="inlineStr">
        <is>
          <t>Case Law</t>
        </is>
      </c>
      <c r="B21" s="41" t="inlineStr">
        <is>
          <t>Rajabi v. Villas at Lakeside, 306 So.3d 400 (5th DCA 2020) — Inflated uncredited balance unenforceable.</t>
        </is>
      </c>
    </row>
    <row r="22">
      <c r="A22" s="40" t="inlineStr">
        <is>
          <t>FDCPA</t>
        </is>
      </c>
      <c r="B22" s="41" t="inlineStr">
        <is>
          <t>15 U.S.C. 1692k(c) — Bona fide error defense requires documented reasonable procedures.</t>
        </is>
      </c>
    </row>
    <row r="23">
      <c r="A23" s="40" t="inlineStr">
        <is>
          <t>GAAP Note</t>
        </is>
      </c>
      <c r="B23" s="41" t="inlineStr">
        <is>
          <t>GAAP 5% materiality does NOT apply to individual collection demand letters.</t>
        </is>
      </c>
    </row>
    <row r="24">
      <c r="A24" s="40" t="inlineStr"/>
      <c r="B24" s="41" t="inlineStr"/>
    </row>
    <row r="25">
      <c r="A25" s="34" t="inlineStr">
        <is>
          <t>ACTION REQUIRED</t>
        </is>
      </c>
      <c r="B25" s="34" t="inlineStr"/>
    </row>
    <row r="26">
      <c r="A26" s="40" t="inlineStr">
        <is>
          <t>Attorney Review</t>
        </is>
      </c>
      <c r="B26" s="41" t="inlineStr">
        <is>
          <t>None — proceed</t>
        </is>
      </c>
    </row>
    <row r="27">
      <c r="A27" s="40" t="inlineStr">
        <is>
          <t>Override Logging</t>
        </is>
      </c>
      <c r="B27" s="41" t="inlineStr">
        <is>
          <t>N/A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5" customWidth="1" min="2" max="2"/>
  </cols>
  <sheetData>
    <row r="1">
      <c r="A1" s="40" t="inlineStr">
        <is>
          <t>Variable</t>
        </is>
      </c>
      <c r="B1" s="41" t="inlineStr">
        <is>
          <t>Value</t>
        </is>
      </c>
    </row>
    <row r="2">
      <c r="A2" s="34" t="inlineStr">
        <is>
          <t>UNIT OWNER IDENTITY</t>
        </is>
      </c>
      <c r="B2" s="34" t="inlineStr"/>
    </row>
    <row r="3">
      <c r="A3" s="40" t="inlineStr">
        <is>
          <t>Owner Name</t>
        </is>
      </c>
      <c r="B3" s="41" t="inlineStr">
        <is>
          <t>Wheaton Partners Llc</t>
        </is>
      </c>
    </row>
    <row r="4">
      <c r="A4" s="40" t="inlineStr">
        <is>
          <t>Unit / Parcel</t>
        </is>
      </c>
      <c r="B4" s="41" t="inlineStr">
        <is>
          <t>556102</t>
        </is>
      </c>
    </row>
    <row r="5">
      <c r="A5" s="40" t="inlineStr">
        <is>
          <t>Property Address</t>
        </is>
      </c>
      <c r="B5" s="41" t="inlineStr">
        <is>
          <t>556 Nw 114 Avenue Unit 102</t>
        </is>
      </c>
    </row>
    <row r="6">
      <c r="A6" s="40" t="inlineStr">
        <is>
          <t>Mailing Address</t>
        </is>
      </c>
      <c r="B6" s="41" t="inlineStr">
        <is>
          <t>556 Nw 114 Avenue Unit 102</t>
        </is>
      </c>
    </row>
    <row r="7">
      <c r="A7" s="40" t="inlineStr">
        <is>
          <t>Association Name</t>
        </is>
      </c>
      <c r="B7" s="41" t="inlineStr">
        <is>
          <t>Soleil Lake Condominium Association, Inc</t>
        </is>
      </c>
    </row>
    <row r="8">
      <c r="A8" s="40" t="inlineStr">
        <is>
          <t>County</t>
        </is>
      </c>
      <c r="B8" s="41" t="inlineStr">
        <is>
          <t>Miami-Dade</t>
        </is>
      </c>
    </row>
    <row r="9">
      <c r="A9" s="40" t="inlineStr">
        <is>
          <t>Governing Statute</t>
        </is>
      </c>
      <c r="B9" s="41" t="inlineStr">
        <is>
          <t>Chapter 718, Florida Statutes (The Florida Condominium Act)</t>
        </is>
      </c>
    </row>
    <row r="10">
      <c r="A10" s="40" t="inlineStr">
        <is>
          <t>Matter ID</t>
        </is>
      </c>
      <c r="B10" s="41" t="inlineStr">
        <is>
          <t>#CC-8921</t>
        </is>
      </c>
    </row>
    <row r="11">
      <c r="A11" s="40" t="inlineStr">
        <is>
          <t>Prepared Date</t>
        </is>
      </c>
      <c r="B11" s="41" t="inlineStr">
        <is>
          <t>March 25, 2026</t>
        </is>
      </c>
    </row>
    <row r="12">
      <c r="A12" s="40" t="inlineStr"/>
      <c r="B12" s="41" t="inlineStr"/>
    </row>
    <row r="13">
      <c r="A13" s="40" t="inlineStr">
        <is>
          <t>PRE-NOLA HISTORY (Irrelevant — account was current)</t>
        </is>
      </c>
      <c r="B13" s="41" t="inlineStr"/>
    </row>
    <row r="14">
      <c r="A14" s="43" t="inlineStr">
        <is>
          <t xml:space="preserve">  01/01/2025 — Maintenance Fee 2025</t>
        </is>
      </c>
      <c r="B14" s="41" t="inlineStr">
        <is>
          <t>$269.00</t>
        </is>
      </c>
    </row>
    <row r="15">
      <c r="A15" s="43" t="inlineStr">
        <is>
          <t xml:space="preserve">  01/06/2025 — eCheck</t>
        </is>
      </c>
      <c r="B15" s="41" t="inlineStr">
        <is>
          <t>-$269.00</t>
        </is>
      </c>
    </row>
    <row r="16">
      <c r="A16" s="43" t="inlineStr">
        <is>
          <t xml:space="preserve">  02/01/2025 — Maintenance Fee 2025</t>
        </is>
      </c>
      <c r="B16" s="41" t="inlineStr">
        <is>
          <t>$269.00</t>
        </is>
      </c>
    </row>
    <row r="17">
      <c r="A17" s="43" t="inlineStr">
        <is>
          <t xml:space="preserve">  02/06/2025 — eCheck</t>
        </is>
      </c>
      <c r="B17" s="41" t="inlineStr">
        <is>
          <t>-$269.00</t>
        </is>
      </c>
    </row>
    <row r="18">
      <c r="A18" s="43" t="inlineStr">
        <is>
          <t xml:space="preserve">  03/01/2025 — Maintenance Fee 2025</t>
        </is>
      </c>
      <c r="B18" s="41" t="inlineStr">
        <is>
          <t>$269.00</t>
        </is>
      </c>
    </row>
    <row r="19">
      <c r="A19" s="43" t="inlineStr">
        <is>
          <t xml:space="preserve">  03/06/2025 — eCheck</t>
        </is>
      </c>
      <c r="B19" s="41" t="inlineStr">
        <is>
          <t>-$269.00</t>
        </is>
      </c>
    </row>
    <row r="20">
      <c r="A20" s="43" t="inlineStr">
        <is>
          <t xml:space="preserve">  Subtotal (irrelevant — net zero at NOLA date)</t>
        </is>
      </c>
      <c r="B20" s="41" t="inlineStr">
        <is>
          <t>$0.00</t>
        </is>
      </c>
    </row>
    <row r="21">
      <c r="A21" s="40" t="inlineStr"/>
      <c r="B21" s="41" t="inlineStr"/>
    </row>
    <row r="22">
      <c r="A22" s="40" t="inlineStr">
        <is>
          <t>PRE-NOLA HISTORY (Relevant — delinquency period)</t>
        </is>
      </c>
      <c r="B22" s="41" t="inlineStr"/>
    </row>
    <row r="23">
      <c r="A23" s="43" t="inlineStr">
        <is>
          <t xml:space="preserve">  04/01/2025 — Maintenance Fee 2025</t>
        </is>
      </c>
      <c r="B23" s="41" t="inlineStr">
        <is>
          <t>$269.00</t>
        </is>
      </c>
    </row>
    <row r="24">
      <c r="A24" s="43" t="inlineStr">
        <is>
          <t xml:space="preserve">  05/01/2025 — Maintenance Fee 2025</t>
        </is>
      </c>
      <c r="B24" s="41" t="inlineStr">
        <is>
          <t>$269.00</t>
        </is>
      </c>
    </row>
    <row r="25">
      <c r="A25" s="43" t="inlineStr">
        <is>
          <t xml:space="preserve">  06/01/2025 — Maintenance Fee 2025</t>
        </is>
      </c>
      <c r="B25" s="41" t="inlineStr">
        <is>
          <t>$269.00</t>
        </is>
      </c>
    </row>
    <row r="26">
      <c r="A26" s="43" t="inlineStr">
        <is>
          <t xml:space="preserve">  07/01/2025 — Maintenance Fee 2025</t>
        </is>
      </c>
      <c r="B26" s="41" t="inlineStr">
        <is>
          <t>$269.00</t>
        </is>
      </c>
    </row>
    <row r="27">
      <c r="A27" s="43" t="inlineStr">
        <is>
          <t xml:space="preserve">  08/01/2025 — Maintenance Fee 2025</t>
        </is>
      </c>
      <c r="B27" s="41" t="inlineStr">
        <is>
          <t>$269.00</t>
        </is>
      </c>
    </row>
    <row r="28">
      <c r="A28" s="43" t="inlineStr">
        <is>
          <t xml:space="preserve">  Subtotal (relevant — builds to NOLA balance)</t>
        </is>
      </c>
      <c r="B28" s="41" t="inlineStr">
        <is>
          <t>$1345.00</t>
        </is>
      </c>
    </row>
    <row r="29">
      <c r="A29" s="40" t="inlineStr"/>
      <c r="B29" s="41" t="inlineStr"/>
    </row>
    <row r="30">
      <c r="A30" s="40" t="inlineStr">
        <is>
          <t>NOLA VARIABLES (from NOLA PDF — Ground Truth)</t>
        </is>
      </c>
      <c r="B30" s="41" t="inlineStr"/>
    </row>
    <row r="31">
      <c r="A31" s="40" t="inlineStr">
        <is>
          <t>NOLA Date</t>
        </is>
      </c>
      <c r="B31" s="41" t="inlineStr">
        <is>
          <t>08/28/2025</t>
        </is>
      </c>
    </row>
    <row r="32">
      <c r="A32" s="40" t="inlineStr">
        <is>
          <t>NOLA Total Outstanding</t>
        </is>
      </c>
      <c r="B32" s="41" t="inlineStr">
        <is>
          <t>$1345.00</t>
        </is>
      </c>
    </row>
    <row r="33">
      <c r="A33" s="43" t="inlineStr">
        <is>
          <t xml:space="preserve">  Maintenance / Assessments</t>
        </is>
      </c>
      <c r="B33" s="41" t="inlineStr">
        <is>
          <t>$1345.00</t>
        </is>
      </c>
    </row>
    <row r="34">
      <c r="A34" s="43" t="inlineStr">
        <is>
          <t xml:space="preserve">  Special Assessments</t>
        </is>
      </c>
      <c r="B34" s="41" t="inlineStr">
        <is>
          <t>$0.00</t>
        </is>
      </c>
    </row>
    <row r="35">
      <c r="A35" s="43" t="inlineStr">
        <is>
          <t xml:space="preserve">  Water / Utility</t>
        </is>
      </c>
      <c r="B35" s="41" t="inlineStr">
        <is>
          <t>$0.00</t>
        </is>
      </c>
    </row>
    <row r="36">
      <c r="A36" s="43" t="inlineStr">
        <is>
          <t xml:space="preserve">  Interest</t>
        </is>
      </c>
      <c r="B36" s="41" t="inlineStr">
        <is>
          <t>$0.00</t>
        </is>
      </c>
    </row>
    <row r="37">
      <c r="A37" s="43" t="inlineStr">
        <is>
          <t xml:space="preserve">  Late Fees</t>
        </is>
      </c>
      <c r="B37" s="41" t="inlineStr">
        <is>
          <t>$0.00</t>
        </is>
      </c>
    </row>
    <row r="38">
      <c r="A38" s="43" t="inlineStr">
        <is>
          <t xml:space="preserve">  Attorney / Legal Fees</t>
        </is>
      </c>
      <c r="B38" s="41" t="inlineStr">
        <is>
          <t>$0.00</t>
        </is>
      </c>
    </row>
    <row r="39">
      <c r="A39" s="43" t="inlineStr">
        <is>
          <t xml:space="preserve">  Other Charges</t>
        </is>
      </c>
      <c r="B39" s="41" t="inlineStr">
        <is>
          <t>$0.00</t>
        </is>
      </c>
    </row>
    <row r="40">
      <c r="A40" s="40" t="inlineStr">
        <is>
          <t>NOLA Parse Variance</t>
        </is>
      </c>
      <c r="B40" s="41" t="inlineStr">
        <is>
          <t>$0.00</t>
        </is>
      </c>
    </row>
    <row r="41">
      <c r="A41" s="40" t="inlineStr">
        <is>
          <t>Monthly Assessment Rate</t>
        </is>
      </c>
      <c r="B41" s="41" t="inlineStr">
        <is>
          <t>$0.00</t>
        </is>
      </c>
    </row>
    <row r="42">
      <c r="A42" s="40" t="inlineStr"/>
      <c r="B42" s="41" t="inlineStr"/>
    </row>
    <row r="43">
      <c r="A43" s="40" t="inlineStr">
        <is>
          <t>POST-NOLA VARIABLES (charges after NOLA date)</t>
        </is>
      </c>
      <c r="B43" s="41" t="inlineStr"/>
    </row>
    <row r="44">
      <c r="A44" s="43" t="inlineStr">
        <is>
          <t xml:space="preserve">  09/01/2025 — Maintenance Fee 2025</t>
        </is>
      </c>
      <c r="B44" s="41" t="inlineStr">
        <is>
          <t>$269.00 [ledger]</t>
        </is>
      </c>
    </row>
    <row r="45">
      <c r="A45" s="43" t="inlineStr">
        <is>
          <t xml:space="preserve">  10/01/2025 — Maintenance Fee 2025</t>
        </is>
      </c>
      <c r="B45" s="41" t="inlineStr">
        <is>
          <t>$269.00 [ledger]</t>
        </is>
      </c>
    </row>
    <row r="46">
      <c r="A46" s="43" t="inlineStr">
        <is>
          <t xml:space="preserve">  11/01/2025 — Maintenance Fee 2025</t>
        </is>
      </c>
      <c r="B46" s="41" t="inlineStr">
        <is>
          <t>$269.00 [ledger]</t>
        </is>
      </c>
    </row>
    <row r="47">
      <c r="A47" s="43" t="inlineStr">
        <is>
          <t xml:space="preserve">  Total Post-NOLA Charges</t>
        </is>
      </c>
      <c r="B47" s="41" t="inlineStr">
        <is>
          <t>$807.00</t>
        </is>
      </c>
    </row>
    <row r="48">
      <c r="A48" s="43" t="inlineStr">
        <is>
          <t xml:space="preserve">  Total Post-NOLA Payments</t>
        </is>
      </c>
      <c r="B48" s="41" t="inlineStr">
        <is>
          <t>-$0.00</t>
        </is>
      </c>
    </row>
    <row r="49">
      <c r="A49" s="43" t="inlineStr">
        <is>
          <t xml:space="preserve">  Net Post-NOLA</t>
        </is>
      </c>
      <c r="B49" s="41" t="inlineStr">
        <is>
          <t>$807.00</t>
        </is>
      </c>
    </row>
    <row r="50">
      <c r="A50" s="40" t="inlineStr"/>
      <c r="B50" s="41" t="inlineStr"/>
    </row>
    <row r="51">
      <c r="A51" s="40" t="inlineStr">
        <is>
          <t>ATTORNEY-ENTERED CHARGES (below the line)</t>
        </is>
      </c>
      <c r="B51" s="41" t="inlineStr"/>
    </row>
    <row r="52">
      <c r="A52" s="40" t="inlineStr">
        <is>
          <t>Certified Mail / Service Charges</t>
        </is>
      </c>
      <c r="B52" s="41" t="inlineStr">
        <is>
          <t>$40.00</t>
        </is>
      </c>
    </row>
    <row r="53">
      <c r="A53" s="40" t="inlineStr">
        <is>
          <t>Other Attorney Costs</t>
        </is>
      </c>
      <c r="B53" s="41" t="inlineStr">
        <is>
          <t>$16.00</t>
        </is>
      </c>
    </row>
    <row r="54">
      <c r="A54" s="40" t="inlineStr">
        <is>
          <t>Attorney's Fees</t>
        </is>
      </c>
      <c r="B54" s="41" t="inlineStr">
        <is>
          <t>$400.00</t>
        </is>
      </c>
    </row>
    <row r="55">
      <c r="A55" s="43" t="inlineStr">
        <is>
          <t xml:space="preserve">  Subtotal Attorney Charges</t>
        </is>
      </c>
      <c r="B55" s="41" t="inlineStr">
        <is>
          <t>$456.00</t>
        </is>
      </c>
    </row>
    <row r="56">
      <c r="A56" s="40" t="inlineStr"/>
      <c r="B56" s="41" t="inlineStr"/>
    </row>
    <row r="57">
      <c r="A57" s="34" t="inlineStr">
        <is>
          <t>COMPUTED TOTALS</t>
        </is>
      </c>
      <c r="B57" s="34" t="inlineStr"/>
    </row>
    <row r="58">
      <c r="A58" s="40" t="inlineStr">
        <is>
          <t>NOLA Balance</t>
        </is>
      </c>
      <c r="B58" s="41" t="inlineStr">
        <is>
          <t>$1345.00</t>
        </is>
      </c>
    </row>
    <row r="59">
      <c r="A59" s="40" t="inlineStr">
        <is>
          <t>+ Post-NOLA Net Charges</t>
        </is>
      </c>
      <c r="B59" s="41" t="inlineStr">
        <is>
          <t>$807.00</t>
        </is>
      </c>
    </row>
    <row r="60">
      <c r="A60" s="44">
        <f> SUBTOTAL (Association)</f>
        <v/>
      </c>
      <c r="B60" s="44" t="inlineStr">
        <is>
          <t>$2152.00</t>
        </is>
      </c>
    </row>
    <row r="61">
      <c r="A61" s="40" t="inlineStr">
        <is>
          <t>+ Attorney Charges</t>
        </is>
      </c>
      <c r="B61" s="41" t="inlineStr">
        <is>
          <t>$456.00</t>
        </is>
      </c>
    </row>
    <row r="62">
      <c r="A62" s="44">
        <f> TOTAL OUTSTANDING</f>
        <v/>
      </c>
      <c r="B62" s="44" t="inlineStr">
        <is>
          <t>$2608.00</t>
        </is>
      </c>
    </row>
    <row r="63">
      <c r="A63" s="40" t="inlineStr"/>
      <c r="B63" s="41" t="inlineStr"/>
    </row>
    <row r="64">
      <c r="A64" s="34" t="inlineStr">
        <is>
          <t>VERIFICATION</t>
        </is>
      </c>
      <c r="B64" s="34" t="inlineStr"/>
    </row>
    <row r="65">
      <c r="A65" s="40" t="inlineStr">
        <is>
          <t>SOA Total (Sheet 1)</t>
        </is>
      </c>
      <c r="B65" s="41" t="inlineStr">
        <is>
          <t>$2608.00</t>
        </is>
      </c>
    </row>
    <row r="66">
      <c r="A66" s="40" t="inlineStr">
        <is>
          <t>NOLA-Ledger TOTALS (Sheet 2)</t>
        </is>
      </c>
      <c r="B66" s="41">
        <f> Sheet 2 running balance</f>
        <v/>
      </c>
    </row>
    <row r="67">
      <c r="A67" s="40" t="inlineStr">
        <is>
          <t>Demand Letter Total</t>
        </is>
      </c>
      <c r="B67" s="41" t="inlineStr">
        <is>
          <t>$2608.00</t>
        </is>
      </c>
    </row>
    <row r="68">
      <c r="A68" s="40" t="inlineStr">
        <is>
          <t>All Three Match?</t>
        </is>
      </c>
      <c r="B68" s="41" t="inlineStr">
        <is>
          <t>YES — Single source of truth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2026-03-25T17:42:48Z</dcterms:created>
  <dcterms:modified xmlns:dcterms="http://purl.org/dc/terms/" xmlns:xsi="http://www.w3.org/2001/XMLSchema-instance" xsi:type="dcterms:W3CDTF">2026-03-25T17:42:48Z</dcterms:modified>
</cp:coreProperties>
</file>