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  <sheet xmlns:r="http://schemas.openxmlformats.org/officeDocument/2006/relationships" name="Financial 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0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sz val="10"/>
    </font>
    <font>
      <b val="1"/>
      <color rgb="001B2A4A"/>
      <sz val="10"/>
    </font>
    <font>
      <i val="1"/>
      <sz val="9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color rgb="001B2A4A"/>
      <sz val="9"/>
    </font>
    <font>
      <sz val="9"/>
    </font>
    <font>
      <b val="1"/>
      <sz val="9"/>
    </font>
    <font>
      <b val="1"/>
      <i val="1"/>
      <color rgb="00595959"/>
      <sz val="8"/>
    </font>
    <font>
      <b val="1"/>
      <color rgb="00FF0000"/>
      <sz val="9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0" fillId="0" borderId="0" pivotButton="0" quotePrefix="0" xfId="0"/>
    <xf numFmtId="0" fontId="17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8" borderId="1" applyAlignment="1" pivotButton="0" quotePrefix="0" xfId="0">
      <alignment vertical="center"/>
    </xf>
    <xf numFmtId="164" fontId="11" fillId="8" borderId="1" applyAlignment="1" pivotButton="0" quotePrefix="0" xfId="0">
      <alignment vertical="center"/>
    </xf>
    <xf numFmtId="0" fontId="12" fillId="3" borderId="1" applyAlignment="1" pivotButton="0" quotePrefix="0" xfId="0">
      <alignment horizontal="center"/>
    </xf>
    <xf numFmtId="4" fontId="12" fillId="3" borderId="1" applyAlignment="1" pivotButton="0" quotePrefix="0" xfId="0">
      <alignment horizontal="center"/>
    </xf>
    <xf numFmtId="164" fontId="12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3" fillId="9" borderId="1" pivotButton="0" quotePrefix="0" xfId="0"/>
    <xf numFmtId="164" fontId="13" fillId="9" borderId="1" pivotButton="0" quotePrefix="0" xfId="0"/>
    <xf numFmtId="0" fontId="14" fillId="3" borderId="1" pivotButton="0" quotePrefix="0" xfId="0"/>
    <xf numFmtId="164" fontId="14" fillId="3" borderId="1" pivotButton="0" quotePrefix="0" xfId="0"/>
    <xf numFmtId="0" fontId="18" fillId="9" borderId="0" pivotButton="0" quotePrefix="0" xfId="0"/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2" borderId="1" pivotButton="0" quotePrefix="0" xfId="0"/>
    <xf numFmtId="0" fontId="0" fillId="10" borderId="1" pivotButton="0" quotePrefix="0" xfId="0"/>
    <xf numFmtId="0" fontId="19" fillId="11" borderId="1" pivotButton="0" quotePrefix="0" xfId="0"/>
    <xf numFmtId="0" fontId="0" fillId="12" borderId="1" pivotButton="0" quotePrefix="0" xfId="0"/>
    <xf numFmtId="0" fontId="17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Maintenance due including April 1, 2026:</t>
        </is>
      </c>
      <c r="B2" s="2" t="inlineStr">
        <is>
          <t>$2,072.76</t>
        </is>
      </c>
    </row>
    <row r="3">
      <c r="A3" s="2" t="inlineStr">
        <is>
          <t>Special assessments due including April 1, 2026:</t>
        </is>
      </c>
      <c r="B3" s="2" t="inlineStr">
        <is>
          <t>$384.45</t>
        </is>
      </c>
    </row>
    <row r="4">
      <c r="A4" s="2" t="inlineStr">
        <is>
          <t>Late fees, if applicable:</t>
        </is>
      </c>
      <c r="B4" s="2" t="inlineStr">
        <is>
          <t>$175.00</t>
        </is>
      </c>
    </row>
    <row r="5">
      <c r="A5" s="2" t="inlineStr">
        <is>
          <t>Other charges:</t>
        </is>
      </c>
      <c r="B5" s="2" t="inlineStr">
        <is>
          <t>$25.00</t>
        </is>
      </c>
    </row>
    <row r="6">
      <c r="A6" s="2" t="inlineStr">
        <is>
          <t>Certified mail charges:</t>
        </is>
      </c>
      <c r="B6" s="2" t="inlineStr">
        <is>
          <t>$40.00</t>
        </is>
      </c>
    </row>
    <row r="7">
      <c r="A7" s="2" t="inlineStr">
        <is>
          <t>Other costs:</t>
        </is>
      </c>
      <c r="B7" s="2" t="inlineStr">
        <is>
          <t>$16.00</t>
        </is>
      </c>
    </row>
    <row r="8">
      <c r="A8" s="2" t="inlineStr">
        <is>
          <t>Attorney's fees:</t>
        </is>
      </c>
      <c r="B8" s="2" t="inlineStr">
        <is>
          <t>$400.00</t>
        </is>
      </c>
    </row>
    <row r="9">
      <c r="A9" s="2" t="inlineStr">
        <is>
          <t>Partial Payment:</t>
        </is>
      </c>
      <c r="B9" s="2" t="inlineStr">
        <is>
          <t>$0.00</t>
        </is>
      </c>
    </row>
    <row r="10">
      <c r="A10" s="3" t="inlineStr">
        <is>
          <t>TOTAL OUTSTANDING:</t>
        </is>
      </c>
      <c r="B10" s="3" t="inlineStr">
        <is>
          <t>$3,113.21</t>
        </is>
      </c>
    </row>
    <row r="12">
      <c r="A12" s="4" t="inlineStr">
        <is>
          <t>NOLA Date: September 24, 2025 | NOLA Opening Balance: $893.21 | Prepared: March 24, 2026</t>
        </is>
      </c>
    </row>
    <row r="14">
      <c r="A14" s="5" t="inlineStr">
        <is>
          <t>CROSS-SHEET VERIFICATION (SOA vs NOLA-Ledger)</t>
        </is>
      </c>
    </row>
    <row r="15">
      <c r="A15" s="6" t="inlineStr">
        <is>
          <t>SOA Total Outstanding</t>
        </is>
      </c>
      <c r="B15" s="7">
        <f>B10</f>
        <v/>
      </c>
    </row>
    <row r="16">
      <c r="A16" s="6" t="inlineStr">
        <is>
          <t>NOLA-Ledger Net Balance Due</t>
        </is>
      </c>
      <c r="B16" s="7">
        <f>'NOLA-Ledger'!N29</f>
        <v/>
      </c>
    </row>
    <row r="17">
      <c r="A17" s="6" t="inlineStr">
        <is>
          <t>Variance</t>
        </is>
      </c>
      <c r="B17" s="7">
        <f>B15-B16</f>
        <v/>
      </c>
    </row>
    <row r="18">
      <c r="A18" s="8" t="inlineStr">
        <is>
          <t>Status</t>
        </is>
      </c>
      <c r="B18" s="8" t="inlineStr">
        <is>
          <t>MISMATCH - Review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0" t="inlineStr"/>
      <c r="B2" s="10" t="inlineStr"/>
      <c r="C2" s="10" t="inlineStr">
        <is>
          <t>── PRE-NOLA LEDGER HISTORY ──</t>
        </is>
      </c>
      <c r="D2" s="10" t="inlineStr">
        <is>
          <t>Separator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>
        <is>
          <t>Context: charges leading to NOLA balance</t>
        </is>
      </c>
    </row>
    <row r="3">
      <c r="A3" s="11" t="n">
        <v>1</v>
      </c>
      <c r="B3" s="11" t="inlineStr">
        <is>
          <t>01/01/2025</t>
        </is>
      </c>
      <c r="C3" s="11" t="inlineStr">
        <is>
          <t>Maintenance Fee 2025</t>
        </is>
      </c>
      <c r="D3" s="11" t="inlineStr">
        <is>
          <t>Regular Assessment</t>
        </is>
      </c>
      <c r="E3" s="11" t="n">
        <v>269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2">
        <f>E3+F3+G3+H3+I3+J3+K3-L3-M3</f>
        <v/>
      </c>
      <c r="O3" s="11" t="inlineStr"/>
    </row>
    <row r="4">
      <c r="A4" s="11" t="n">
        <v>2</v>
      </c>
      <c r="B4" s="11" t="inlineStr">
        <is>
          <t>01/06/2025</t>
        </is>
      </c>
      <c r="C4" s="11" t="inlineStr">
        <is>
          <t>eCheck</t>
        </is>
      </c>
      <c r="D4" s="11" t="inlineStr">
        <is>
          <t>Payment Received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269</v>
      </c>
      <c r="M4" s="11" t="n">
        <v>0</v>
      </c>
      <c r="N4" s="12">
        <f>N3+E4+F4+G4+H4+I4+J4+K4-L4-M4</f>
        <v/>
      </c>
      <c r="O4" s="11" t="inlineStr"/>
    </row>
    <row r="5">
      <c r="A5" s="11" t="n">
        <v>3</v>
      </c>
      <c r="B5" s="11" t="inlineStr">
        <is>
          <t>02/01/2025</t>
        </is>
      </c>
      <c r="C5" s="11" t="inlineStr">
        <is>
          <t>Maintenance Fee 2025</t>
        </is>
      </c>
      <c r="D5" s="11" t="inlineStr">
        <is>
          <t>Regular Assessment</t>
        </is>
      </c>
      <c r="E5" s="11" t="n">
        <v>269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N4+E5+F5+G5+H5+I5+J5+K5-L5-M5</f>
        <v/>
      </c>
      <c r="O5" s="11" t="inlineStr"/>
    </row>
    <row r="6">
      <c r="A6" s="11" t="n">
        <v>4</v>
      </c>
      <c r="B6" s="11" t="inlineStr">
        <is>
          <t>02/06/2025</t>
        </is>
      </c>
      <c r="C6" s="11" t="inlineStr">
        <is>
          <t>eCheck</t>
        </is>
      </c>
      <c r="D6" s="11" t="inlineStr">
        <is>
          <t>Payment Received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269</v>
      </c>
      <c r="M6" s="11" t="n">
        <v>0</v>
      </c>
      <c r="N6" s="12">
        <f>N5+E6+F6+G6+H6+I6+J6+K6-L6-M6</f>
        <v/>
      </c>
      <c r="O6" s="11" t="inlineStr"/>
    </row>
    <row r="7">
      <c r="A7" s="11" t="n">
        <v>5</v>
      </c>
      <c r="B7" s="11" t="inlineStr">
        <is>
          <t>03/01/2025</t>
        </is>
      </c>
      <c r="C7" s="11" t="inlineStr">
        <is>
          <t>Maintenance Fee 2025</t>
        </is>
      </c>
      <c r="D7" s="11" t="inlineStr">
        <is>
          <t>Regular Assessment</t>
        </is>
      </c>
      <c r="E7" s="11" t="n">
        <v>269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N6+E7+F7+G7+H7+I7+J7+K7-L7-M7</f>
        <v/>
      </c>
      <c r="O7" s="11" t="inlineStr"/>
    </row>
    <row r="8">
      <c r="A8" s="11" t="n">
        <v>6</v>
      </c>
      <c r="B8" s="11" t="inlineStr">
        <is>
          <t>03/06/2025</t>
        </is>
      </c>
      <c r="C8" s="11" t="inlineStr">
        <is>
          <t>eCheck</t>
        </is>
      </c>
      <c r="D8" s="11" t="inlineStr">
        <is>
          <t>Payment Received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269</v>
      </c>
      <c r="M8" s="11" t="n">
        <v>0</v>
      </c>
      <c r="N8" s="12">
        <f>N7+E8+F8+G8+H8+I8+J8+K8-L8-M8</f>
        <v/>
      </c>
      <c r="O8" s="11" t="inlineStr"/>
    </row>
    <row r="9">
      <c r="A9" s="13" t="n">
        <v>7</v>
      </c>
      <c r="B9" s="13" t="inlineStr">
        <is>
          <t>04/01/2025</t>
        </is>
      </c>
      <c r="C9" s="13" t="inlineStr">
        <is>
          <t>Maintenance Fee 2025</t>
        </is>
      </c>
      <c r="D9" s="13" t="inlineStr">
        <is>
          <t>Regular Assessment</t>
        </is>
      </c>
      <c r="E9" s="13" t="n">
        <v>269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4">
        <f>N8+E9+F9+G9+H9+I9+J9+K9-L9-M9</f>
        <v/>
      </c>
      <c r="O9" s="13" t="inlineStr"/>
    </row>
    <row r="10">
      <c r="A10" s="13" t="n">
        <v>8</v>
      </c>
      <c r="B10" s="13" t="inlineStr">
        <is>
          <t>05/01/2025</t>
        </is>
      </c>
      <c r="C10" s="13" t="inlineStr">
        <is>
          <t>Maintenance Fee 2025</t>
        </is>
      </c>
      <c r="D10" s="13" t="inlineStr">
        <is>
          <t>Regular Assessment</t>
        </is>
      </c>
      <c r="E10" s="13" t="n">
        <v>269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4">
        <f>N9+E10+F10+G10+H10+I10+J10+K10-L10-M10</f>
        <v/>
      </c>
      <c r="O10" s="13" t="inlineStr"/>
    </row>
    <row r="11">
      <c r="A11" s="13" t="n">
        <v>9</v>
      </c>
      <c r="B11" s="13" t="inlineStr">
        <is>
          <t>06/01/2025</t>
        </is>
      </c>
      <c r="C11" s="13" t="inlineStr">
        <is>
          <t>Maintenance Fee 2025</t>
        </is>
      </c>
      <c r="D11" s="13" t="inlineStr">
        <is>
          <t>Regular Assessment</t>
        </is>
      </c>
      <c r="E11" s="13" t="n">
        <v>269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4">
        <f>N10+E11+F11+G11+H11+I11+J11+K11-L11-M11</f>
        <v/>
      </c>
      <c r="O11" s="13" t="inlineStr"/>
    </row>
    <row r="12">
      <c r="A12" s="13" t="n">
        <v>10</v>
      </c>
      <c r="B12" s="13" t="inlineStr">
        <is>
          <t>07/01/2025</t>
        </is>
      </c>
      <c r="C12" s="13" t="inlineStr">
        <is>
          <t>Maintenance Fee 2025</t>
        </is>
      </c>
      <c r="D12" s="13" t="inlineStr">
        <is>
          <t>Regular Assessment</t>
        </is>
      </c>
      <c r="E12" s="13" t="n">
        <v>269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4">
        <f>N11+E12+F12+G12+H12+I12+J12+K12-L12-M12</f>
        <v/>
      </c>
      <c r="O12" s="13" t="inlineStr"/>
    </row>
    <row r="13">
      <c r="A13" s="13" t="n">
        <v>11</v>
      </c>
      <c r="B13" s="13" t="inlineStr">
        <is>
          <t>08/01/2025</t>
        </is>
      </c>
      <c r="C13" s="13" t="inlineStr">
        <is>
          <t>Maintenance Fee 2025</t>
        </is>
      </c>
      <c r="D13" s="13" t="inlineStr">
        <is>
          <t>Regular Assessment</t>
        </is>
      </c>
      <c r="E13" s="13" t="n">
        <v>269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4">
        <f>N12+E13+F13+G13+H13+I13+J13+K13-L13-M13</f>
        <v/>
      </c>
      <c r="O13" s="13" t="inlineStr"/>
    </row>
    <row r="14">
      <c r="A14" s="13" t="n">
        <v>12</v>
      </c>
      <c r="B14" s="13" t="inlineStr">
        <is>
          <t>09/01/2025</t>
        </is>
      </c>
      <c r="C14" s="13" t="inlineStr">
        <is>
          <t>Maintenance Fee 2025</t>
        </is>
      </c>
      <c r="D14" s="13" t="inlineStr">
        <is>
          <t>Regular Assessment</t>
        </is>
      </c>
      <c r="E14" s="13" t="n">
        <v>269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4">
        <f>N13+E14+F14+G14+H14+I14+J14+K14-L14-M14</f>
        <v/>
      </c>
      <c r="O14" s="13" t="inlineStr"/>
    </row>
    <row r="15">
      <c r="A15" s="15" t="n">
        <v>13</v>
      </c>
      <c r="B15" s="15" t="inlineStr">
        <is>
          <t>09/24/2025</t>
        </is>
      </c>
      <c r="C15" s="15" t="inlineStr">
        <is>
          <t>Balance per Notice of Late Assessment (NOLA) — September 24, 2025 [source: stated_total]</t>
        </is>
      </c>
      <c r="D15" s="15" t="inlineStr">
        <is>
          <t>Previous Balance</t>
        </is>
      </c>
      <c r="E15" s="16" t="n">
        <v>458.76</v>
      </c>
      <c r="F15" s="16" t="n">
        <v>384.45</v>
      </c>
      <c r="G15" s="16" t="n">
        <v>0</v>
      </c>
      <c r="H15" s="16" t="n">
        <v>0</v>
      </c>
      <c r="I15" s="16" t="n">
        <v>25</v>
      </c>
      <c r="J15" s="16" t="n">
        <v>0</v>
      </c>
      <c r="K15" s="16" t="n">
        <v>25</v>
      </c>
      <c r="L15" s="16" t="n">
        <v>0</v>
      </c>
      <c r="M15" s="16" t="n">
        <v>0</v>
      </c>
      <c r="N15" s="17">
        <f>E15+F15+G15+H15+I15+J15+K15-L15-M15</f>
        <v/>
      </c>
      <c r="O15" s="15" t="inlineStr">
        <is>
          <t>NOLA ground truth opening balance — do not modify</t>
        </is>
      </c>
    </row>
    <row r="16">
      <c r="A16" s="18" t="n">
        <v>14</v>
      </c>
      <c r="B16" s="18" t="inlineStr">
        <is>
          <t>10/01/2025</t>
        </is>
      </c>
      <c r="C16" s="18" t="inlineStr">
        <is>
          <t>Maintenance Fee 2025</t>
        </is>
      </c>
      <c r="D16" s="18" t="inlineStr">
        <is>
          <t>Regular Assessment</t>
        </is>
      </c>
      <c r="E16" s="18" t="n">
        <v>269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9">
        <f>N15+E16+F16+G16+H16+I16+J16+K16-L16-M16</f>
        <v/>
      </c>
      <c r="O16" s="18" t="inlineStr"/>
    </row>
    <row r="17">
      <c r="A17" s="18" t="n">
        <v>15</v>
      </c>
      <c r="B17" s="18" t="inlineStr">
        <is>
          <t>11/01/2025</t>
        </is>
      </c>
      <c r="C17" s="18" t="inlineStr">
        <is>
          <t>Maintenance Fee 2025</t>
        </is>
      </c>
      <c r="D17" s="18" t="inlineStr">
        <is>
          <t>Regular Assessment</t>
        </is>
      </c>
      <c r="E17" s="18" t="n">
        <v>269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9">
        <f>N16+E17+F17+G17+H17+I17+J17+K17-L17-M17</f>
        <v/>
      </c>
      <c r="O17" s="18" t="inlineStr"/>
    </row>
    <row r="18">
      <c r="A18" s="18" t="n">
        <v>16</v>
      </c>
      <c r="B18" s="18" t="inlineStr">
        <is>
          <t>12/01/2025</t>
        </is>
      </c>
      <c r="C18" s="18" t="inlineStr">
        <is>
          <t>Assessment — December 2025 (catch-up)</t>
        </is>
      </c>
      <c r="D18" s="18" t="inlineStr">
        <is>
          <t>Regular Assessment</t>
        </is>
      </c>
      <c r="E18" s="18" t="n">
        <v>269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9">
        <f>N17+E18+F18+G18+H18+I18+J18+K18-L18-M18</f>
        <v/>
      </c>
      <c r="O18" s="18" t="inlineStr">
        <is>
          <t>Monthly assessment not yet on management ledger</t>
        </is>
      </c>
    </row>
    <row r="19">
      <c r="A19" s="18" t="n">
        <v>17</v>
      </c>
      <c r="B19" s="18" t="inlineStr">
        <is>
          <t>01/01/2026</t>
        </is>
      </c>
      <c r="C19" s="18" t="inlineStr">
        <is>
          <t>Assessment — January 2026 (catch-up)</t>
        </is>
      </c>
      <c r="D19" s="18" t="inlineStr">
        <is>
          <t>Regular Assessment</t>
        </is>
      </c>
      <c r="E19" s="18" t="n">
        <v>269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9">
        <f>N18+E19+F19+G19+H19+I19+J19+K19-L19-M19</f>
        <v/>
      </c>
      <c r="O19" s="18" t="inlineStr">
        <is>
          <t>Monthly assessment not yet on management ledger</t>
        </is>
      </c>
    </row>
    <row r="20">
      <c r="A20" s="18" t="n">
        <v>18</v>
      </c>
      <c r="B20" s="18" t="inlineStr">
        <is>
          <t>02/01/2026</t>
        </is>
      </c>
      <c r="C20" s="18" t="inlineStr">
        <is>
          <t>Assessment — February 2026 (catch-up)</t>
        </is>
      </c>
      <c r="D20" s="18" t="inlineStr">
        <is>
          <t>Regular Assessment</t>
        </is>
      </c>
      <c r="E20" s="18" t="n">
        <v>269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9">
        <f>N19+E20+F20+G20+H20+I20+J20+K20-L20-M20</f>
        <v/>
      </c>
      <c r="O20" s="18" t="inlineStr">
        <is>
          <t>Monthly assessment not yet on management ledger</t>
        </is>
      </c>
    </row>
    <row r="21">
      <c r="A21" s="18" t="n">
        <v>19</v>
      </c>
      <c r="B21" s="18" t="inlineStr">
        <is>
          <t>03/01/2026</t>
        </is>
      </c>
      <c r="C21" s="18" t="inlineStr">
        <is>
          <t>Assessment — March 2026 (catch-up)</t>
        </is>
      </c>
      <c r="D21" s="18" t="inlineStr">
        <is>
          <t>Regular Assessment</t>
        </is>
      </c>
      <c r="E21" s="18" t="n">
        <v>269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9">
        <f>N20+E21+F21+G21+H21+I21+J21+K21-L21-M21</f>
        <v/>
      </c>
      <c r="O21" s="18" t="inlineStr">
        <is>
          <t>Monthly assessment not yet on management ledger</t>
        </is>
      </c>
    </row>
    <row r="22">
      <c r="A22" s="18" t="n">
        <v>20</v>
      </c>
      <c r="B22" s="18" t="inlineStr">
        <is>
          <t>03/24/2026</t>
        </is>
      </c>
      <c r="C22" s="18" t="inlineStr">
        <is>
          <t>Certified Mail / Service Charges</t>
        </is>
      </c>
      <c r="D22" s="18" t="inlineStr">
        <is>
          <t>Other</t>
        </is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40</v>
      </c>
      <c r="L22" s="18" t="n">
        <v>0</v>
      </c>
      <c r="M22" s="18" t="n">
        <v>0</v>
      </c>
      <c r="N22" s="19">
        <f>N21+E22+F22+G22+H22+I22+J22+K22-L22-M22</f>
        <v/>
      </c>
      <c r="O22" s="18" t="inlineStr">
        <is>
          <t>CondoClaw Auto-Applied</t>
        </is>
      </c>
    </row>
    <row r="23">
      <c r="A23" s="18" t="n">
        <v>21</v>
      </c>
      <c r="B23" s="18" t="inlineStr">
        <is>
          <t>03/24/2026</t>
        </is>
      </c>
      <c r="C23" s="18" t="inlineStr">
        <is>
          <t>Other Attorney Costs</t>
        </is>
      </c>
      <c r="D23" s="18" t="inlineStr">
        <is>
          <t>Other</t>
        </is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16</v>
      </c>
      <c r="L23" s="18" t="n">
        <v>0</v>
      </c>
      <c r="M23" s="18" t="n">
        <v>0</v>
      </c>
      <c r="N23" s="19">
        <f>N22+E23+F23+G23+H23+I23+J23+K23-L23-M23</f>
        <v/>
      </c>
      <c r="O23" s="18" t="inlineStr">
        <is>
          <t>CondoClaw Auto-Applied</t>
        </is>
      </c>
    </row>
    <row r="24">
      <c r="A24" s="18" t="n">
        <v>22</v>
      </c>
      <c r="B24" s="18" t="inlineStr">
        <is>
          <t>03/24/2026</t>
        </is>
      </c>
      <c r="C24" s="18" t="inlineStr">
        <is>
          <t>Attorney's Fees</t>
        </is>
      </c>
      <c r="D24" s="18" t="inlineStr">
        <is>
          <t>Attorney Fee</t>
        </is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400</v>
      </c>
      <c r="K24" s="18" t="n">
        <v>0</v>
      </c>
      <c r="L24" s="18" t="n">
        <v>0</v>
      </c>
      <c r="M24" s="18" t="n">
        <v>0</v>
      </c>
      <c r="N24" s="19">
        <f>N23+E24+F24+G24+H24+I24+J24+K24-L24-M24</f>
        <v/>
      </c>
      <c r="O24" s="18" t="inlineStr">
        <is>
          <t>CondoClaw Auto-Applied</t>
        </is>
      </c>
    </row>
    <row r="25">
      <c r="A25" s="20" t="inlineStr"/>
      <c r="B25" s="20" t="inlineStr"/>
      <c r="C25" s="20" t="inlineStr">
        <is>
          <t>CURRENT BALANCE (per uploaded ledger — reference only)</t>
        </is>
      </c>
      <c r="D25" s="20" t="inlineStr">
        <is>
          <t>Current Balance</t>
        </is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1" t="n">
        <v>2507.21</v>
      </c>
      <c r="O25" s="20" t="inlineStr">
        <is>
          <t>REFERENCE ONLY — not included in totals</t>
        </is>
      </c>
    </row>
    <row r="26">
      <c r="A26" s="10" t="inlineStr"/>
      <c r="B26" s="10" t="inlineStr"/>
      <c r="C26" s="10" t="inlineStr">
        <is>
          <t>── 45-DAY FORWARD PROJECTION (PRD §42.6) ──</t>
        </is>
      </c>
      <c r="D26" s="10" t="inlineStr">
        <is>
          <t>Separator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>
        <is>
          <t>Projected charges — 45-day cure window</t>
        </is>
      </c>
    </row>
    <row r="27">
      <c r="A27" s="22" t="n">
        <v>23</v>
      </c>
      <c r="B27" s="22" t="inlineStr">
        <is>
          <t>04/01/2026</t>
        </is>
      </c>
      <c r="C27" s="22" t="inlineStr">
        <is>
          <t>Projected Assessment — April 2026</t>
        </is>
      </c>
      <c r="D27" s="22" t="inlineStr">
        <is>
          <t>Projected Assessment</t>
        </is>
      </c>
      <c r="E27" s="22" t="n">
        <v>269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3">
        <f>N25+E27+F27+G27+H27+I27+J27+K27-L27-M27</f>
        <v/>
      </c>
      <c r="O27" s="22" t="inlineStr">
        <is>
          <t>45-day forward projection — not yet due</t>
        </is>
      </c>
    </row>
    <row r="28">
      <c r="A28" s="22" t="n">
        <v>24</v>
      </c>
      <c r="B28" s="22" t="inlineStr">
        <is>
          <t>05/01/2026</t>
        </is>
      </c>
      <c r="C28" s="22" t="inlineStr">
        <is>
          <t>Projected Assessment — May 2026</t>
        </is>
      </c>
      <c r="D28" s="22" t="inlineStr">
        <is>
          <t>Projected Assessment</t>
        </is>
      </c>
      <c r="E28" s="22" t="n">
        <v>269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3">
        <f>N27+E28+F28+G28+H28+I28+J28+K28-L28-M28</f>
        <v/>
      </c>
      <c r="O28" s="22" t="inlineStr">
        <is>
          <t>45-day forward projection — not yet due</t>
        </is>
      </c>
    </row>
    <row r="29">
      <c r="A29" s="24" t="inlineStr"/>
      <c r="B29" s="24" t="inlineStr"/>
      <c r="C29" s="24" t="inlineStr">
        <is>
          <t>TOTALS</t>
        </is>
      </c>
      <c r="D29" s="24" t="inlineStr"/>
      <c r="E29" s="25">
        <f>SUM(E15:E24)</f>
        <v/>
      </c>
      <c r="F29" s="25">
        <f>SUM(F15:F24)</f>
        <v/>
      </c>
      <c r="G29" s="25">
        <f>SUM(G15:G24)</f>
        <v/>
      </c>
      <c r="H29" s="25">
        <f>SUM(H15:H24)</f>
        <v/>
      </c>
      <c r="I29" s="25">
        <f>SUM(I15:I24)</f>
        <v/>
      </c>
      <c r="J29" s="25">
        <f>SUM(J15:J24)</f>
        <v/>
      </c>
      <c r="K29" s="25">
        <f>SUM(K15:K24)</f>
        <v/>
      </c>
      <c r="L29" s="25">
        <f>SUM(L15:L24)</f>
        <v/>
      </c>
      <c r="M29" s="25">
        <f>SUM(M15:M24)</f>
        <v/>
      </c>
      <c r="N29" s="26">
        <f>N24</f>
        <v/>
      </c>
      <c r="O29" s="27" t="n"/>
    </row>
    <row r="31">
      <c r="A31" s="28" t="inlineStr">
        <is>
          <t>TOTALS SUMMARY</t>
        </is>
      </c>
      <c r="B31" s="28" t="inlineStr"/>
    </row>
    <row r="32">
      <c r="A32" s="29" t="inlineStr">
        <is>
          <t>Total Maintenance</t>
        </is>
      </c>
      <c r="B32" s="30">
        <f>E29</f>
        <v/>
      </c>
    </row>
    <row r="33">
      <c r="A33" s="29" t="inlineStr">
        <is>
          <t>Total Special Asmt</t>
        </is>
      </c>
      <c r="B33" s="30">
        <f>F29</f>
        <v/>
      </c>
    </row>
    <row r="34">
      <c r="A34" s="29" t="inlineStr">
        <is>
          <t>Total Water/Utility</t>
        </is>
      </c>
      <c r="B34" s="30">
        <f>G29</f>
        <v/>
      </c>
    </row>
    <row r="35">
      <c r="A35" s="29" t="inlineStr">
        <is>
          <t>Total Interest</t>
        </is>
      </c>
      <c r="B35" s="30">
        <f>H29</f>
        <v/>
      </c>
    </row>
    <row r="36">
      <c r="A36" s="29" t="inlineStr">
        <is>
          <t>Total Late Fees</t>
        </is>
      </c>
      <c r="B36" s="30">
        <f>I29</f>
        <v/>
      </c>
    </row>
    <row r="37">
      <c r="A37" s="29" t="inlineStr">
        <is>
          <t>Total Legal/Atty</t>
        </is>
      </c>
      <c r="B37" s="30">
        <f>J29</f>
        <v/>
      </c>
    </row>
    <row r="38">
      <c r="A38" s="29" t="inlineStr">
        <is>
          <t>Total Other Charges</t>
        </is>
      </c>
      <c r="B38" s="30">
        <f>K29</f>
        <v/>
      </c>
    </row>
    <row r="39">
      <c r="A39" s="29" t="inlineStr">
        <is>
          <t>Total Payments</t>
        </is>
      </c>
      <c r="B39" s="30">
        <f>-L29</f>
        <v/>
      </c>
    </row>
    <row r="40">
      <c r="A40" s="29" t="inlineStr">
        <is>
          <t>Total Credits</t>
        </is>
      </c>
      <c r="B40" s="30">
        <f>-M29</f>
        <v/>
      </c>
    </row>
    <row r="41">
      <c r="A41" s="31" t="inlineStr">
        <is>
          <t>NET BALANCE DUE</t>
        </is>
      </c>
      <c r="B41" s="32">
        <f>N29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8" t="n">
        <v>1</v>
      </c>
      <c r="B2" s="18" t="inlineStr">
        <is>
          <t>01/01/2025</t>
        </is>
      </c>
      <c r="C2" s="18" t="inlineStr">
        <is>
          <t>Maintenance Fee 2025</t>
        </is>
      </c>
      <c r="D2" s="18" t="inlineStr">
        <is>
          <t>Regular Assessment</t>
        </is>
      </c>
      <c r="E2" s="18" t="n">
        <v>269</v>
      </c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n">
        <v>269</v>
      </c>
      <c r="O2" s="18" t="inlineStr"/>
    </row>
    <row r="3">
      <c r="A3" s="18" t="n">
        <v>2</v>
      </c>
      <c r="B3" s="18" t="inlineStr">
        <is>
          <t>01/06/2025</t>
        </is>
      </c>
      <c r="C3" s="18" t="inlineStr">
        <is>
          <t>eCheck</t>
        </is>
      </c>
      <c r="D3" s="18" t="inlineStr">
        <is>
          <t>Payment Received</t>
        </is>
      </c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n">
        <v>269</v>
      </c>
      <c r="M3" s="18" t="inlineStr"/>
      <c r="N3" s="18" t="n">
        <v>0</v>
      </c>
      <c r="O3" s="18" t="inlineStr"/>
    </row>
    <row r="4">
      <c r="A4" s="18" t="n">
        <v>3</v>
      </c>
      <c r="B4" s="18" t="inlineStr">
        <is>
          <t>02/01/2025</t>
        </is>
      </c>
      <c r="C4" s="18" t="inlineStr">
        <is>
          <t>Maintenance Fee 2025</t>
        </is>
      </c>
      <c r="D4" s="18" t="inlineStr">
        <is>
          <t>Regular Assessment</t>
        </is>
      </c>
      <c r="E4" s="18" t="n">
        <v>269</v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n">
        <v>269</v>
      </c>
      <c r="O4" s="18" t="inlineStr"/>
    </row>
    <row r="5">
      <c r="A5" s="18" t="n">
        <v>4</v>
      </c>
      <c r="B5" s="18" t="inlineStr">
        <is>
          <t>02/06/2025</t>
        </is>
      </c>
      <c r="C5" s="18" t="inlineStr">
        <is>
          <t>eCheck</t>
        </is>
      </c>
      <c r="D5" s="18" t="inlineStr">
        <is>
          <t>Payment Received</t>
        </is>
      </c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n">
        <v>269</v>
      </c>
      <c r="M5" s="18" t="inlineStr"/>
      <c r="N5" s="18" t="n">
        <v>0</v>
      </c>
      <c r="O5" s="18" t="inlineStr"/>
    </row>
    <row r="6">
      <c r="A6" s="18" t="n">
        <v>5</v>
      </c>
      <c r="B6" s="18" t="inlineStr">
        <is>
          <t>03/01/2025</t>
        </is>
      </c>
      <c r="C6" s="18" t="inlineStr">
        <is>
          <t>Maintenance Fee 2025</t>
        </is>
      </c>
      <c r="D6" s="18" t="inlineStr">
        <is>
          <t>Regular Assessment</t>
        </is>
      </c>
      <c r="E6" s="18" t="n">
        <v>269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n">
        <v>269</v>
      </c>
      <c r="O6" s="18" t="inlineStr"/>
    </row>
    <row r="7">
      <c r="A7" s="18" t="n">
        <v>6</v>
      </c>
      <c r="B7" s="18" t="inlineStr">
        <is>
          <t>03/06/2025</t>
        </is>
      </c>
      <c r="C7" s="18" t="inlineStr">
        <is>
          <t>eCheck</t>
        </is>
      </c>
      <c r="D7" s="18" t="inlineStr">
        <is>
          <t>Payment Received</t>
        </is>
      </c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n">
        <v>269</v>
      </c>
      <c r="M7" s="18" t="inlineStr"/>
      <c r="N7" s="18" t="n">
        <v>0</v>
      </c>
      <c r="O7" s="18" t="inlineStr"/>
    </row>
    <row r="8">
      <c r="A8" s="18" t="n">
        <v>7</v>
      </c>
      <c r="B8" s="18" t="inlineStr">
        <is>
          <t>04/01/2025</t>
        </is>
      </c>
      <c r="C8" s="18" t="inlineStr">
        <is>
          <t>Maintenance Fee 2025</t>
        </is>
      </c>
      <c r="D8" s="18" t="inlineStr">
        <is>
          <t>Regular Assessment</t>
        </is>
      </c>
      <c r="E8" s="18" t="n">
        <v>269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n">
        <v>269</v>
      </c>
      <c r="O8" s="18" t="inlineStr"/>
    </row>
    <row r="9">
      <c r="A9" s="18" t="n">
        <v>8</v>
      </c>
      <c r="B9" s="18" t="inlineStr">
        <is>
          <t>05/01/2025</t>
        </is>
      </c>
      <c r="C9" s="18" t="inlineStr">
        <is>
          <t>Maintenance Fee 2025</t>
        </is>
      </c>
      <c r="D9" s="18" t="inlineStr">
        <is>
          <t>Regular Assessment</t>
        </is>
      </c>
      <c r="E9" s="18" t="n">
        <v>269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n">
        <v>538</v>
      </c>
      <c r="O9" s="18" t="inlineStr"/>
    </row>
    <row r="10">
      <c r="A10" s="18" t="n">
        <v>9</v>
      </c>
      <c r="B10" s="18" t="inlineStr">
        <is>
          <t>06/01/2025</t>
        </is>
      </c>
      <c r="C10" s="18" t="inlineStr">
        <is>
          <t>Maintenance Fee 2025</t>
        </is>
      </c>
      <c r="D10" s="18" t="inlineStr">
        <is>
          <t>Regular Assessment</t>
        </is>
      </c>
      <c r="E10" s="18" t="n">
        <v>269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n">
        <v>807</v>
      </c>
      <c r="O10" s="18" t="inlineStr"/>
    </row>
    <row r="11">
      <c r="A11" s="18" t="n">
        <v>10</v>
      </c>
      <c r="B11" s="18" t="inlineStr">
        <is>
          <t>07/01/2025</t>
        </is>
      </c>
      <c r="C11" s="18" t="inlineStr">
        <is>
          <t>Maintenance Fee 2025</t>
        </is>
      </c>
      <c r="D11" s="18" t="inlineStr">
        <is>
          <t>Regular Assessment</t>
        </is>
      </c>
      <c r="E11" s="18" t="n">
        <v>269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n">
        <v>1076</v>
      </c>
      <c r="O11" s="18" t="inlineStr"/>
    </row>
    <row r="12">
      <c r="A12" s="18" t="n">
        <v>11</v>
      </c>
      <c r="B12" s="18" t="inlineStr">
        <is>
          <t>08/01/2025</t>
        </is>
      </c>
      <c r="C12" s="18" t="inlineStr">
        <is>
          <t>Maintenance Fee 2025</t>
        </is>
      </c>
      <c r="D12" s="18" t="inlineStr">
        <is>
          <t>Regular Assessment</t>
        </is>
      </c>
      <c r="E12" s="18" t="n">
        <v>269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n">
        <v>1345</v>
      </c>
      <c r="O12" s="18" t="inlineStr"/>
    </row>
    <row r="13">
      <c r="A13" s="18" t="n">
        <v>12</v>
      </c>
      <c r="B13" s="18" t="inlineStr">
        <is>
          <t>09/01/2025</t>
        </is>
      </c>
      <c r="C13" s="18" t="inlineStr">
        <is>
          <t>Maintenance Fee 2025</t>
        </is>
      </c>
      <c r="D13" s="18" t="inlineStr">
        <is>
          <t>Regular Assessment</t>
        </is>
      </c>
      <c r="E13" s="18" t="n">
        <v>269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n">
        <v>1614</v>
      </c>
      <c r="O13" s="18" t="inlineStr"/>
    </row>
    <row r="14">
      <c r="A14" s="18" t="n">
        <v>13</v>
      </c>
      <c r="B14" s="18" t="inlineStr">
        <is>
          <t>10/01/2025</t>
        </is>
      </c>
      <c r="C14" s="18" t="inlineStr">
        <is>
          <t>Maintenance Fee 2025</t>
        </is>
      </c>
      <c r="D14" s="18" t="inlineStr">
        <is>
          <t>Regular Assessment</t>
        </is>
      </c>
      <c r="E14" s="18" t="n">
        <v>269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n">
        <v>1883</v>
      </c>
      <c r="O14" s="18" t="inlineStr"/>
    </row>
    <row r="15">
      <c r="A15" s="18" t="n">
        <v>14</v>
      </c>
      <c r="B15" s="18" t="inlineStr">
        <is>
          <t>11/01/2025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n">
        <v>2152</v>
      </c>
      <c r="O15" s="18" t="inlineStr"/>
    </row>
    <row r="17">
      <c r="A17" s="33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34" t="inlineStr">
        <is>
          <t>Field</t>
        </is>
      </c>
      <c r="B1" s="35" t="inlineStr">
        <is>
          <t>Value</t>
        </is>
      </c>
    </row>
    <row r="2">
      <c r="A2" s="36" t="inlineStr">
        <is>
          <t>MATTER INFORMATION</t>
        </is>
      </c>
      <c r="B2" s="36" t="inlineStr"/>
    </row>
    <row r="3">
      <c r="A3" s="34" t="inlineStr">
        <is>
          <t>Matter ID</t>
        </is>
      </c>
      <c r="B3" s="35" t="inlineStr">
        <is>
          <t>#CC-8921</t>
        </is>
      </c>
    </row>
    <row r="4">
      <c r="A4" s="34" t="inlineStr">
        <is>
          <t>Prepared Date</t>
        </is>
      </c>
      <c r="B4" s="35" t="inlineStr">
        <is>
          <t>March 24, 2026</t>
        </is>
      </c>
    </row>
    <row r="5">
      <c r="A5" s="34" t="inlineStr">
        <is>
          <t>Ledger Through Date</t>
        </is>
      </c>
      <c r="B5" s="35" t="inlineStr">
        <is>
          <t>11/01/2025</t>
        </is>
      </c>
    </row>
    <row r="6">
      <c r="A6" s="34" t="inlineStr">
        <is>
          <t>Oldest Unpaid Date</t>
        </is>
      </c>
      <c r="B6" s="35" t="inlineStr">
        <is>
          <t>01/01/2025</t>
        </is>
      </c>
    </row>
    <row r="7">
      <c r="A7" s="34" t="inlineStr">
        <is>
          <t>Months Delinquent</t>
        </is>
      </c>
      <c r="B7" s="35" t="inlineStr">
        <is>
          <t>8</t>
        </is>
      </c>
    </row>
    <row r="8">
      <c r="A8" s="34" t="inlineStr">
        <is>
          <t>Ground Truth Verified</t>
        </is>
      </c>
      <c r="B8" s="35" t="inlineStr">
        <is>
          <t>Pending — Human Review Required</t>
        </is>
      </c>
    </row>
    <row r="9">
      <c r="A9" s="34" t="inlineStr"/>
      <c r="B9" s="35" t="inlineStr"/>
    </row>
    <row r="10">
      <c r="A10" s="36" t="inlineStr">
        <is>
          <t>ENTITY CLASSIFICATION</t>
        </is>
      </c>
      <c r="B10" s="36" t="inlineStr"/>
    </row>
    <row r="11">
      <c r="A11" s="34" t="inlineStr">
        <is>
          <t>Entity Type</t>
        </is>
      </c>
      <c r="B11" s="35" t="inlineStr">
        <is>
          <t>Condominium</t>
        </is>
      </c>
    </row>
    <row r="12">
      <c r="A12" s="34" t="inlineStr">
        <is>
          <t>Governing Statute</t>
        </is>
      </c>
      <c r="B12" s="35" t="inlineStr">
        <is>
          <t>Chapter 718, Florida Statutes (The Florida Condominium Act)</t>
        </is>
      </c>
    </row>
    <row r="13">
      <c r="A13" s="34" t="inlineStr">
        <is>
          <t>Lien Authority</t>
        </is>
      </c>
      <c r="B13" s="35" t="inlineStr">
        <is>
          <t>F.S. § 718.116(5)(a)</t>
        </is>
      </c>
    </row>
    <row r="14">
      <c r="A14" s="34" t="inlineStr">
        <is>
          <t>Notice Authority</t>
        </is>
      </c>
      <c r="B14" s="35" t="inlineStr">
        <is>
          <t>F.S. § 718.116(6)(b)</t>
        </is>
      </c>
    </row>
    <row r="15">
      <c r="A15" s="34" t="inlineStr">
        <is>
          <t>Interest Authority</t>
        </is>
      </c>
      <c r="B15" s="35" t="inlineStr">
        <is>
          <t>F.S. § 718.116(3)</t>
        </is>
      </c>
    </row>
    <row r="16">
      <c r="A16" s="34" t="inlineStr">
        <is>
          <t>Interest Rate</t>
        </is>
      </c>
      <c r="B16" s="35" t="inlineStr">
        <is>
          <t>18% per annum</t>
        </is>
      </c>
    </row>
    <row r="17">
      <c r="A17" s="34" t="inlineStr"/>
      <c r="B17" s="35" t="inlineStr"/>
    </row>
    <row r="18">
      <c r="A18" s="36" t="inlineStr">
        <is>
          <t>ASSOCIATION</t>
        </is>
      </c>
      <c r="B18" s="36" t="inlineStr"/>
    </row>
    <row r="19">
      <c r="A19" s="34" t="inlineStr">
        <is>
          <t>Association Name</t>
        </is>
      </c>
      <c r="B19" s="35" t="inlineStr">
        <is>
          <t>Segovia Condominium Association II, Inc.</t>
        </is>
      </c>
    </row>
    <row r="20">
      <c r="A20" s="34" t="inlineStr">
        <is>
          <t>County</t>
        </is>
      </c>
      <c r="B20" s="35" t="inlineStr">
        <is>
          <t>Miami-Dade</t>
        </is>
      </c>
    </row>
    <row r="21">
      <c r="A21" s="34" t="inlineStr">
        <is>
          <t>Association Address</t>
        </is>
      </c>
      <c r="B21" s="35" t="inlineStr"/>
    </row>
    <row r="22">
      <c r="A22" s="34" t="inlineStr"/>
      <c r="B22" s="35" t="inlineStr"/>
    </row>
    <row r="23">
      <c r="A23" s="36" t="inlineStr">
        <is>
          <t>OWNER / UNIT</t>
        </is>
      </c>
      <c r="B23" s="36" t="inlineStr"/>
    </row>
    <row r="24">
      <c r="A24" s="34" t="inlineStr">
        <is>
          <t>Owner Name</t>
        </is>
      </c>
      <c r="B24" s="35" t="inlineStr">
        <is>
          <t>ROSA QUINTANA</t>
        </is>
      </c>
    </row>
    <row r="25">
      <c r="A25" s="34" t="inlineStr">
        <is>
          <t>Unit / Parcel</t>
        </is>
      </c>
      <c r="B25" s="35" t="inlineStr">
        <is>
          <t>215</t>
        </is>
      </c>
    </row>
    <row r="26">
      <c r="A26" s="34" t="inlineStr">
        <is>
          <t>Property Address</t>
        </is>
      </c>
      <c r="B26" s="35" t="inlineStr">
        <is>
          <t>1221 SW 122 AVE</t>
        </is>
      </c>
    </row>
    <row r="27">
      <c r="A27" s="34" t="inlineStr">
        <is>
          <t>Mailing Address</t>
        </is>
      </c>
      <c r="B27" s="35" t="inlineStr">
        <is>
          <t>1221 SW 122 AVE</t>
        </is>
      </c>
    </row>
    <row r="28">
      <c r="A28" s="34" t="inlineStr"/>
      <c r="B28" s="35" t="inlineStr"/>
    </row>
    <row r="29">
      <c r="A29" s="36" t="inlineStr">
        <is>
          <t>FINANCIAL SUMMARY</t>
        </is>
      </c>
      <c r="B29" s="36" t="inlineStr"/>
    </row>
    <row r="30">
      <c r="A30" s="34" t="inlineStr">
        <is>
          <t>Monthly Assessment</t>
        </is>
      </c>
      <c r="B30" s="35" t="inlineStr">
        <is>
          <t>$269.0</t>
        </is>
      </c>
    </row>
    <row r="31">
      <c r="A31" s="34" t="inlineStr">
        <is>
          <t>Special Assessment</t>
        </is>
      </c>
      <c r="B31" s="35" t="inlineStr"/>
    </row>
    <row r="32">
      <c r="A32" s="34" t="inlineStr">
        <is>
          <t>Principal Balance</t>
        </is>
      </c>
      <c r="B32" s="35" t="inlineStr">
        <is>
          <t>$2341.76</t>
        </is>
      </c>
    </row>
    <row r="33">
      <c r="A33" s="34" t="inlineStr">
        <is>
          <t>Late Fees</t>
        </is>
      </c>
      <c r="B33" s="35" t="inlineStr">
        <is>
          <t>$175.00</t>
        </is>
      </c>
    </row>
    <row r="34">
      <c r="A34" s="34" t="inlineStr">
        <is>
          <t>Interest Accrued (18%)</t>
        </is>
      </c>
      <c r="B34" s="35" t="inlineStr">
        <is>
          <t>$265.58</t>
        </is>
      </c>
    </row>
    <row r="35">
      <c r="A35" s="34" t="inlineStr">
        <is>
          <t>Attorney Fees</t>
        </is>
      </c>
      <c r="B35" s="35" t="inlineStr">
        <is>
          <t>$400.00</t>
        </is>
      </c>
    </row>
    <row r="36">
      <c r="A36" s="34" t="inlineStr">
        <is>
          <t>Other Charges</t>
        </is>
      </c>
      <c r="B36" s="35" t="inlineStr">
        <is>
          <t>$25.00</t>
        </is>
      </c>
    </row>
    <row r="37">
      <c r="A37" s="34" t="inlineStr">
        <is>
          <t>Total Credits / Payments</t>
        </is>
      </c>
      <c r="B37" s="35" t="inlineStr"/>
    </row>
    <row r="38">
      <c r="A38" s="37" t="inlineStr">
        <is>
          <t>TOTAL AMOUNT DUE</t>
        </is>
      </c>
      <c r="B38" s="37" t="inlineStr">
        <is>
          <t>$3382.21</t>
        </is>
      </c>
    </row>
    <row r="39">
      <c r="A39" s="34" t="inlineStr"/>
      <c r="B39" s="35" t="inlineStr"/>
    </row>
    <row r="40">
      <c r="A40" s="36" t="inlineStr">
        <is>
          <t>NOLA / NOTICE</t>
        </is>
      </c>
      <c r="B40" s="36" t="inlineStr"/>
    </row>
    <row r="41">
      <c r="A41" s="34" t="inlineStr">
        <is>
          <t>NOLA Date</t>
        </is>
      </c>
      <c r="B41" s="35" t="inlineStr">
        <is>
          <t>September 24, 2025</t>
        </is>
      </c>
    </row>
    <row r="42">
      <c r="A42" s="34" t="inlineStr">
        <is>
          <t>Due Date</t>
        </is>
      </c>
      <c r="B42" s="35" t="inlineStr"/>
    </row>
    <row r="43">
      <c r="A43" s="34" t="inlineStr">
        <is>
          <t>Cure Period (days)</t>
        </is>
      </c>
      <c r="B43" s="35" t="inlineStr">
        <is>
          <t>30</t>
        </is>
      </c>
    </row>
    <row r="44">
      <c r="A44" s="34" t="inlineStr">
        <is>
          <t>NOLA Reference #</t>
        </is>
      </c>
      <c r="B44" s="35" t="inlineStr">
        <is>
          <t>SGVC215</t>
        </is>
      </c>
    </row>
    <row r="45">
      <c r="A45" s="34" t="inlineStr"/>
      <c r="B45" s="35" t="inlineStr"/>
    </row>
    <row r="46">
      <c r="A46" s="36" t="inlineStr">
        <is>
          <t>MAILING / AFFIDAVIT</t>
        </is>
      </c>
      <c r="B46" s="36" t="inlineStr"/>
    </row>
    <row r="47">
      <c r="A47" s="34" t="inlineStr">
        <is>
          <t>Mailing Date</t>
        </is>
      </c>
      <c r="B47" s="35" t="inlineStr"/>
    </row>
    <row r="48">
      <c r="A48" s="34" t="inlineStr">
        <is>
          <t>Mailing Method</t>
        </is>
      </c>
      <c r="B48" s="35" t="inlineStr"/>
    </row>
    <row r="49">
      <c r="A49" s="34" t="inlineStr">
        <is>
          <t>Certified Mail #</t>
        </is>
      </c>
      <c r="B49" s="35" t="inlineStr"/>
    </row>
    <row r="50">
      <c r="A50" s="34" t="inlineStr">
        <is>
          <t>Document Mailed</t>
        </is>
      </c>
      <c r="B50" s="35" t="inlineStr"/>
    </row>
    <row r="51">
      <c r="A51" s="34" t="inlineStr">
        <is>
          <t>Affiant Name</t>
        </is>
      </c>
      <c r="B51" s="35" t="inlineStr"/>
    </row>
    <row r="52">
      <c r="A52" s="34" t="inlineStr">
        <is>
          <t>Notary Name</t>
        </is>
      </c>
      <c r="B52" s="35" t="inlineStr"/>
    </row>
    <row r="53">
      <c r="A53" s="34" t="inlineStr">
        <is>
          <t>Notary Commission Exp.</t>
        </is>
      </c>
      <c r="B53" s="35" t="inlineStr"/>
    </row>
    <row r="54">
      <c r="A54" s="34" t="inlineStr">
        <is>
          <t>Notary County</t>
        </is>
      </c>
      <c r="B54" s="35" t="inlineStr">
        <is>
          <t>Miami-Dade</t>
        </is>
      </c>
    </row>
    <row r="55">
      <c r="A55" s="34" t="inlineStr"/>
      <c r="B55" s="35" t="inlineStr"/>
    </row>
    <row r="56">
      <c r="A56" s="36" t="inlineStr">
        <is>
          <t>SOURCE FILES</t>
        </is>
      </c>
      <c r="B56" s="36" t="inlineStr"/>
    </row>
    <row r="57">
      <c r="A57" s="34" t="inlineStr">
        <is>
          <t>Source NOLA File</t>
        </is>
      </c>
      <c r="B57" s="35" t="inlineStr">
        <is>
          <t>2025-9-24 NOLA Quintana 215 (1).pdf</t>
        </is>
      </c>
    </row>
    <row r="58">
      <c r="A58" s="34" t="inlineStr">
        <is>
          <t>Source Ledger File</t>
        </is>
      </c>
      <c r="B58" s="35" t="inlineStr">
        <is>
          <t>2025-11-2 Ledger - Wheaton LLC 102.pdf</t>
        </is>
      </c>
    </row>
    <row r="59">
      <c r="A59" s="34" t="inlineStr">
        <is>
          <t>Source Affidavit File</t>
        </is>
      </c>
      <c r="B59" s="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38" t="inlineStr">
        <is>
          <t>Compliance Item</t>
        </is>
      </c>
      <c r="B1" s="38" t="inlineStr">
        <is>
          <t>Section</t>
        </is>
      </c>
      <c r="C1" s="38" t="inlineStr">
        <is>
          <t>Status</t>
        </is>
      </c>
    </row>
    <row r="2">
      <c r="A2" s="27" t="inlineStr">
        <is>
          <t>Demand letter total consistent with NOLA (NOLA balance: $893.21)</t>
        </is>
      </c>
      <c r="B2" s="27" t="inlineStr">
        <is>
          <t>PRD §3 / §718.116(6)(b)</t>
        </is>
      </c>
      <c r="C2" s="39" t="inlineStr">
        <is>
          <t>YES</t>
        </is>
      </c>
    </row>
    <row r="3">
      <c r="A3" s="27" t="inlineStr">
        <is>
          <t>SOA total matches NOLA-Ledger total (SOA: $3113.21 | Ledger: $2563.21)</t>
        </is>
      </c>
      <c r="B3" s="27" t="inlineStr">
        <is>
          <t>PRD §47.3</t>
        </is>
      </c>
      <c r="C3" s="40" t="inlineStr">
        <is>
          <t>FLAG — Mismatch detected</t>
        </is>
      </c>
    </row>
    <row r="4">
      <c r="A4" s="27" t="inlineStr">
        <is>
          <t>NOLA sent before lien filing</t>
        </is>
      </c>
      <c r="B4" s="27" t="inlineStr">
        <is>
          <t>§ 718.116(6)(b)</t>
        </is>
      </c>
      <c r="C4" s="39" t="inlineStr">
        <is>
          <t>YES</t>
        </is>
      </c>
    </row>
    <row r="5">
      <c r="A5" s="27" t="inlineStr">
        <is>
          <t>Cure period stated in NOLA</t>
        </is>
      </c>
      <c r="B5" s="27" t="inlineStr">
        <is>
          <t>§ 718.116(6)(b)</t>
        </is>
      </c>
      <c r="C5" s="39" t="inlineStr">
        <is>
          <t>YES</t>
        </is>
      </c>
    </row>
    <row r="6">
      <c r="A6" s="27" t="inlineStr">
        <is>
          <t>Total amount specifically stated</t>
        </is>
      </c>
      <c r="B6" s="27" t="inlineStr">
        <is>
          <t>§ 718.116(6)(b)(1)</t>
        </is>
      </c>
      <c r="C6" s="39" t="inlineStr">
        <is>
          <t>YES</t>
        </is>
      </c>
    </row>
    <row r="7">
      <c r="A7" s="27" t="inlineStr">
        <is>
          <t>Interest rate disclosed (18% p.a.)</t>
        </is>
      </c>
      <c r="B7" s="27" t="inlineStr">
        <is>
          <t>§ 718.116(3)</t>
        </is>
      </c>
      <c r="C7" s="41" t="inlineStr">
        <is>
          <t>VERIFY</t>
        </is>
      </c>
    </row>
    <row r="8">
      <c r="A8" s="27" t="inlineStr">
        <is>
          <t>Late charges authorized</t>
        </is>
      </c>
      <c r="B8" s="27" t="inlineStr">
        <is>
          <t>§ 718.116(6)(a)</t>
        </is>
      </c>
      <c r="C8" s="39" t="inlineStr">
        <is>
          <t>YES</t>
        </is>
      </c>
    </row>
    <row r="9">
      <c r="A9" s="27" t="inlineStr">
        <is>
          <t>Attorney fees authorized</t>
        </is>
      </c>
      <c r="B9" s="27" t="inlineStr">
        <is>
          <t>§ 718.116(6)(a)</t>
        </is>
      </c>
      <c r="C9" s="41" t="inlineStr">
        <is>
          <t>PENDING</t>
        </is>
      </c>
    </row>
    <row r="10">
      <c r="A10" s="27" t="inlineStr">
        <is>
          <t>Mailing affidavit obtained</t>
        </is>
      </c>
      <c r="B10" s="27" t="inlineStr">
        <is>
          <t>§ 718.116(6)(b)</t>
        </is>
      </c>
      <c r="C10" s="41" t="inlineStr">
        <is>
          <t>PENDING</t>
        </is>
      </c>
    </row>
    <row r="11">
      <c r="A11" s="27" t="inlineStr">
        <is>
          <t>Notary seal on affidavit</t>
        </is>
      </c>
      <c r="B11" s="27" t="inlineStr">
        <is>
          <t>§ 718.116(6)(b)</t>
        </is>
      </c>
      <c r="C11" s="41" t="inlineStr">
        <is>
          <t>PENDING</t>
        </is>
      </c>
    </row>
    <row r="12">
      <c r="A12" s="27" t="inlineStr">
        <is>
          <t>Certified mail number on file</t>
        </is>
      </c>
      <c r="B12" s="27" t="inlineStr">
        <is>
          <t>§ 718.116(6)(b)</t>
        </is>
      </c>
      <c r="C12" s="41" t="inlineStr">
        <is>
          <t>PENDING</t>
        </is>
      </c>
    </row>
    <row r="13">
      <c r="A13" s="27" t="inlineStr">
        <is>
          <t>Ledger period covers delinquency</t>
        </is>
      </c>
      <c r="B13" s="27" t="inlineStr">
        <is>
          <t>§ 718.116</t>
        </is>
      </c>
      <c r="C13" s="39" t="inlineStr">
        <is>
          <t>YES</t>
        </is>
      </c>
    </row>
    <row r="14">
      <c r="A14" s="27" t="inlineStr">
        <is>
          <t>First mortgagee safe harbor reviewed</t>
        </is>
      </c>
      <c r="B14" s="27" t="inlineStr">
        <is>
          <t>§ 718.116(1)(b)</t>
        </is>
      </c>
      <c r="C14" s="41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42" t="inlineStr">
        <is>
          <t>Field</t>
        </is>
      </c>
      <c r="B1" s="43" t="inlineStr">
        <is>
          <t>Value</t>
        </is>
      </c>
    </row>
    <row r="2">
      <c r="A2" s="36" t="inlineStr">
        <is>
          <t>NOLA VALIDATION</t>
        </is>
      </c>
      <c r="B2" s="36" t="inlineStr"/>
    </row>
    <row r="3">
      <c r="A3" s="42" t="inlineStr">
        <is>
          <t>NOLA Date</t>
        </is>
      </c>
      <c r="B3" s="43" t="inlineStr">
        <is>
          <t>09/24/2025</t>
        </is>
      </c>
    </row>
    <row r="4">
      <c r="A4" s="42" t="inlineStr">
        <is>
          <t>NOLA Stated Balance</t>
        </is>
      </c>
      <c r="B4" s="43" t="inlineStr">
        <is>
          <t>$893.21</t>
        </is>
      </c>
    </row>
    <row r="5">
      <c r="A5" s="42" t="inlineStr">
        <is>
          <t>Ledger-Derived Balance (at NOLA date)</t>
        </is>
      </c>
      <c r="B5" s="43" t="inlineStr">
        <is>
          <t>$1614.00</t>
        </is>
      </c>
    </row>
    <row r="6">
      <c r="A6" s="42" t="inlineStr">
        <is>
          <t>Variance (Absolute)</t>
        </is>
      </c>
      <c r="B6" s="43" t="inlineStr">
        <is>
          <t>$720.79</t>
        </is>
      </c>
    </row>
    <row r="7">
      <c r="A7" s="42" t="inlineStr">
        <is>
          <t>Variance (%)</t>
        </is>
      </c>
      <c r="B7" s="43" t="inlineStr">
        <is>
          <t>80.70%</t>
        </is>
      </c>
    </row>
    <row r="8">
      <c r="A8" s="42" t="inlineStr"/>
      <c r="B8" s="43" t="inlineStr"/>
    </row>
    <row r="9">
      <c r="A9" s="36" t="inlineStr">
        <is>
          <t>TOLERANCE TIERS (PRD §42.5)</t>
        </is>
      </c>
      <c r="B9" s="36" t="inlineStr"/>
    </row>
    <row r="10">
      <c r="A10" s="42" t="inlineStr">
        <is>
          <t>&lt;= $1.00</t>
        </is>
      </c>
      <c r="B10" s="43" t="inlineStr">
        <is>
          <t>[GOOD] Rounding - Green (no flag, proceed)</t>
        </is>
      </c>
    </row>
    <row r="11">
      <c r="A11" s="42" t="inlineStr">
        <is>
          <t>$1.01 - $50.00</t>
        </is>
      </c>
      <c r="B11" s="43" t="inlineStr">
        <is>
          <t>[MINOR] Minor Variance - Yellow (attorney acknowledgment required)</t>
        </is>
      </c>
    </row>
    <row r="12">
      <c r="A12" s="42" t="inlineStr">
        <is>
          <t>&gt; $50.00</t>
        </is>
      </c>
      <c r="B12" s="43" t="inlineStr">
        <is>
          <t>[BAD] Bad NOLA - Red (explicit override + logging required)</t>
        </is>
      </c>
    </row>
    <row r="13">
      <c r="A13" s="42" t="inlineStr"/>
      <c r="B13" s="43" t="inlineStr"/>
    </row>
    <row r="14">
      <c r="A14" s="36" t="inlineStr">
        <is>
          <t>DETERMINATION</t>
        </is>
      </c>
      <c r="B14" s="36" t="inlineStr"/>
    </row>
    <row r="15">
      <c r="A15" s="44" t="inlineStr">
        <is>
          <t>Status</t>
        </is>
      </c>
      <c r="B15" s="44" t="inlineStr">
        <is>
          <t>[BAD] BAD NOLA - MATERIAL DISCREPANCY: $720.79 difference. Explicit override + logging required. See PRD 42.5.</t>
        </is>
      </c>
    </row>
    <row r="16">
      <c r="A16" s="42" t="inlineStr">
        <is>
          <t>Tier</t>
        </is>
      </c>
      <c r="B16" s="43" t="inlineStr">
        <is>
          <t>BAD</t>
        </is>
      </c>
    </row>
    <row r="17">
      <c r="A17" s="42" t="inlineStr">
        <is>
          <t>NOLA Balance Source</t>
        </is>
      </c>
      <c r="B17" s="43" t="inlineStr">
        <is>
          <t>stated_total</t>
        </is>
      </c>
    </row>
    <row r="18">
      <c r="A18" s="42" t="inlineStr"/>
      <c r="B18" s="43" t="inlineStr"/>
    </row>
    <row r="19">
      <c r="A19" s="36" t="inlineStr">
        <is>
          <t>LEGAL BASIS</t>
        </is>
      </c>
      <c r="B19" s="36" t="inlineStr"/>
    </row>
    <row r="20">
      <c r="A20" s="42" t="inlineStr">
        <is>
          <t>FL Statute</t>
        </is>
      </c>
      <c r="B20" s="43" t="inlineStr">
        <is>
          <t>F.S. 718.116(8) — Any amount overstated in estoppel is waived; no de minimis floor.</t>
        </is>
      </c>
    </row>
    <row r="21">
      <c r="A21" s="42" t="inlineStr">
        <is>
          <t>Case Law</t>
        </is>
      </c>
      <c r="B21" s="43" t="inlineStr">
        <is>
          <t>Rajabi v. Villas at Lakeside, 306 So.3d 400 (5th DCA 2020) — Inflated uncredited balance unenforceable.</t>
        </is>
      </c>
    </row>
    <row r="22">
      <c r="A22" s="42" t="inlineStr">
        <is>
          <t>FDCPA</t>
        </is>
      </c>
      <c r="B22" s="43" t="inlineStr">
        <is>
          <t>15 U.S.C. 1692k(c) — Bona fide error defense requires documented reasonable procedures.</t>
        </is>
      </c>
    </row>
    <row r="23">
      <c r="A23" s="42" t="inlineStr">
        <is>
          <t>GAAP Note</t>
        </is>
      </c>
      <c r="B23" s="43" t="inlineStr">
        <is>
          <t>GAAP 5% materiality does NOT apply to individual collection demand letters.</t>
        </is>
      </c>
    </row>
    <row r="24">
      <c r="A24" s="42" t="inlineStr"/>
      <c r="B24" s="43" t="inlineStr"/>
    </row>
    <row r="25">
      <c r="A25" s="36" t="inlineStr">
        <is>
          <t>ACTION REQUIRED</t>
        </is>
      </c>
      <c r="B25" s="36" t="inlineStr"/>
    </row>
    <row r="26">
      <c r="A26" s="42" t="inlineStr">
        <is>
          <t>Attorney Review</t>
        </is>
      </c>
      <c r="B26" s="43" t="inlineStr">
        <is>
          <t>Required — documented override mandatory, do NOT proceed without logging</t>
        </is>
      </c>
    </row>
    <row r="27">
      <c r="A27" s="42" t="inlineStr">
        <is>
          <t>Override Logging</t>
        </is>
      </c>
      <c r="B27" s="43" t="inlineStr">
        <is>
          <t>Log override with timestamp and attorney identity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42" t="inlineStr">
        <is>
          <t>Variable</t>
        </is>
      </c>
      <c r="B1" s="43" t="inlineStr">
        <is>
          <t>Value</t>
        </is>
      </c>
    </row>
    <row r="2">
      <c r="A2" s="36" t="inlineStr">
        <is>
          <t>UNIT OWNER IDENTITY</t>
        </is>
      </c>
      <c r="B2" s="36" t="inlineStr"/>
    </row>
    <row r="3">
      <c r="A3" s="42" t="inlineStr">
        <is>
          <t>Owner Name</t>
        </is>
      </c>
      <c r="B3" s="43" t="inlineStr">
        <is>
          <t>ROSA QUINTANA</t>
        </is>
      </c>
    </row>
    <row r="4">
      <c r="A4" s="42" t="inlineStr">
        <is>
          <t>Unit / Parcel</t>
        </is>
      </c>
      <c r="B4" s="43" t="inlineStr">
        <is>
          <t>215</t>
        </is>
      </c>
    </row>
    <row r="5">
      <c r="A5" s="42" t="inlineStr">
        <is>
          <t>Property Address</t>
        </is>
      </c>
      <c r="B5" s="43" t="inlineStr">
        <is>
          <t>1221 SW 122 AVE</t>
        </is>
      </c>
    </row>
    <row r="6">
      <c r="A6" s="42" t="inlineStr">
        <is>
          <t>Mailing Address</t>
        </is>
      </c>
      <c r="B6" s="43" t="inlineStr">
        <is>
          <t>1221 SW 122 AVE</t>
        </is>
      </c>
    </row>
    <row r="7">
      <c r="A7" s="42" t="inlineStr">
        <is>
          <t>Association Name</t>
        </is>
      </c>
      <c r="B7" s="43" t="inlineStr">
        <is>
          <t>Segovia Condominium Association II, Inc.</t>
        </is>
      </c>
    </row>
    <row r="8">
      <c r="A8" s="42" t="inlineStr">
        <is>
          <t>County</t>
        </is>
      </c>
      <c r="B8" s="43" t="inlineStr">
        <is>
          <t>Miami-Dade</t>
        </is>
      </c>
    </row>
    <row r="9">
      <c r="A9" s="42" t="inlineStr">
        <is>
          <t>Governing Statute</t>
        </is>
      </c>
      <c r="B9" s="43" t="inlineStr">
        <is>
          <t>Chapter 718, Florida Statutes (The Florida Condominium Act)</t>
        </is>
      </c>
    </row>
    <row r="10">
      <c r="A10" s="42" t="inlineStr">
        <is>
          <t>Matter ID</t>
        </is>
      </c>
      <c r="B10" s="43" t="inlineStr">
        <is>
          <t>#CC-8921</t>
        </is>
      </c>
    </row>
    <row r="11">
      <c r="A11" s="42" t="inlineStr">
        <is>
          <t>Prepared Date</t>
        </is>
      </c>
      <c r="B11" s="43" t="inlineStr">
        <is>
          <t>March 24, 2026</t>
        </is>
      </c>
    </row>
    <row r="12">
      <c r="A12" s="42" t="inlineStr"/>
      <c r="B12" s="43" t="inlineStr"/>
    </row>
    <row r="13">
      <c r="A13" s="42" t="inlineStr">
        <is>
          <t>PRE-NOLA HISTORY (Irrelevant — account was current)</t>
        </is>
      </c>
      <c r="B13" s="43" t="inlineStr"/>
    </row>
    <row r="14">
      <c r="A14" s="45" t="inlineStr">
        <is>
          <t xml:space="preserve">  01/01/2025 — Maintenance Fee 2025</t>
        </is>
      </c>
      <c r="B14" s="43" t="inlineStr">
        <is>
          <t>$269.00</t>
        </is>
      </c>
    </row>
    <row r="15">
      <c r="A15" s="45" t="inlineStr">
        <is>
          <t xml:space="preserve">  01/06/2025 — eCheck</t>
        </is>
      </c>
      <c r="B15" s="43" t="inlineStr">
        <is>
          <t>-$269.00</t>
        </is>
      </c>
    </row>
    <row r="16">
      <c r="A16" s="45" t="inlineStr">
        <is>
          <t xml:space="preserve">  02/01/2025 — Maintenance Fee 2025</t>
        </is>
      </c>
      <c r="B16" s="43" t="inlineStr">
        <is>
          <t>$269.00</t>
        </is>
      </c>
    </row>
    <row r="17">
      <c r="A17" s="45" t="inlineStr">
        <is>
          <t xml:space="preserve">  02/06/2025 — eCheck</t>
        </is>
      </c>
      <c r="B17" s="43" t="inlineStr">
        <is>
          <t>-$269.00</t>
        </is>
      </c>
    </row>
    <row r="18">
      <c r="A18" s="45" t="inlineStr">
        <is>
          <t xml:space="preserve">  03/01/2025 — Maintenance Fee 2025</t>
        </is>
      </c>
      <c r="B18" s="43" t="inlineStr">
        <is>
          <t>$269.00</t>
        </is>
      </c>
    </row>
    <row r="19">
      <c r="A19" s="45" t="inlineStr">
        <is>
          <t xml:space="preserve">  03/06/2025 — eCheck</t>
        </is>
      </c>
      <c r="B19" s="43" t="inlineStr">
        <is>
          <t>-$269.00</t>
        </is>
      </c>
    </row>
    <row r="20">
      <c r="A20" s="45" t="inlineStr">
        <is>
          <t xml:space="preserve">  Subtotal (irrelevant — net zero at NOLA date)</t>
        </is>
      </c>
      <c r="B20" s="43" t="inlineStr">
        <is>
          <t>$0.00</t>
        </is>
      </c>
    </row>
    <row r="21">
      <c r="A21" s="42" t="inlineStr"/>
      <c r="B21" s="43" t="inlineStr"/>
    </row>
    <row r="22">
      <c r="A22" s="42" t="inlineStr">
        <is>
          <t>PRE-NOLA HISTORY (Relevant — delinquency period)</t>
        </is>
      </c>
      <c r="B22" s="43" t="inlineStr"/>
    </row>
    <row r="23">
      <c r="A23" s="45" t="inlineStr">
        <is>
          <t xml:space="preserve">  04/01/2025 — Maintenance Fee 2025</t>
        </is>
      </c>
      <c r="B23" s="43" t="inlineStr">
        <is>
          <t>$269.00</t>
        </is>
      </c>
    </row>
    <row r="24">
      <c r="A24" s="45" t="inlineStr">
        <is>
          <t xml:space="preserve">  05/01/2025 — Maintenance Fee 2025</t>
        </is>
      </c>
      <c r="B24" s="43" t="inlineStr">
        <is>
          <t>$269.00</t>
        </is>
      </c>
    </row>
    <row r="25">
      <c r="A25" s="45" t="inlineStr">
        <is>
          <t xml:space="preserve">  06/01/2025 — Maintenance Fee 2025</t>
        </is>
      </c>
      <c r="B25" s="43" t="inlineStr">
        <is>
          <t>$269.00</t>
        </is>
      </c>
    </row>
    <row r="26">
      <c r="A26" s="45" t="inlineStr">
        <is>
          <t xml:space="preserve">  07/01/2025 — Maintenance Fee 2025</t>
        </is>
      </c>
      <c r="B26" s="43" t="inlineStr">
        <is>
          <t>$269.00</t>
        </is>
      </c>
    </row>
    <row r="27">
      <c r="A27" s="45" t="inlineStr">
        <is>
          <t xml:space="preserve">  08/01/2025 — Maintenance Fee 2025</t>
        </is>
      </c>
      <c r="B27" s="43" t="inlineStr">
        <is>
          <t>$269.00</t>
        </is>
      </c>
    </row>
    <row r="28">
      <c r="A28" s="45" t="inlineStr">
        <is>
          <t xml:space="preserve">  09/01/2025 — Maintenance Fee 2025</t>
        </is>
      </c>
      <c r="B28" s="43" t="inlineStr">
        <is>
          <t>$269.00</t>
        </is>
      </c>
    </row>
    <row r="29">
      <c r="A29" s="45" t="inlineStr">
        <is>
          <t xml:space="preserve">  Subtotal (relevant — builds to NOLA balance)</t>
        </is>
      </c>
      <c r="B29" s="43" t="inlineStr">
        <is>
          <t>$1614.00</t>
        </is>
      </c>
    </row>
    <row r="30">
      <c r="A30" s="42" t="inlineStr"/>
      <c r="B30" s="43" t="inlineStr"/>
    </row>
    <row r="31">
      <c r="A31" s="42" t="inlineStr">
        <is>
          <t>NOLA VARIABLES (from NOLA PDF — Ground Truth)</t>
        </is>
      </c>
      <c r="B31" s="43" t="inlineStr"/>
    </row>
    <row r="32">
      <c r="A32" s="42" t="inlineStr">
        <is>
          <t>NOLA Date</t>
        </is>
      </c>
      <c r="B32" s="43" t="inlineStr">
        <is>
          <t>09/24/2025</t>
        </is>
      </c>
    </row>
    <row r="33">
      <c r="A33" s="42" t="inlineStr">
        <is>
          <t>NOLA Total Outstanding</t>
        </is>
      </c>
      <c r="B33" s="43" t="inlineStr">
        <is>
          <t>$893.21</t>
        </is>
      </c>
    </row>
    <row r="34">
      <c r="A34" s="45" t="inlineStr">
        <is>
          <t xml:space="preserve">  Maintenance / Assessments</t>
        </is>
      </c>
      <c r="B34" s="43" t="inlineStr">
        <is>
          <t>$458.76</t>
        </is>
      </c>
    </row>
    <row r="35">
      <c r="A35" s="45" t="inlineStr">
        <is>
          <t xml:space="preserve">  Special Assessments</t>
        </is>
      </c>
      <c r="B35" s="43" t="inlineStr">
        <is>
          <t>$384.45</t>
        </is>
      </c>
    </row>
    <row r="36">
      <c r="A36" s="45" t="inlineStr">
        <is>
          <t xml:space="preserve">  Water / Utility</t>
        </is>
      </c>
      <c r="B36" s="43" t="inlineStr">
        <is>
          <t>$0.00</t>
        </is>
      </c>
    </row>
    <row r="37">
      <c r="A37" s="45" t="inlineStr">
        <is>
          <t xml:space="preserve">  Interest</t>
        </is>
      </c>
      <c r="B37" s="43" t="inlineStr">
        <is>
          <t>$0.00</t>
        </is>
      </c>
    </row>
    <row r="38">
      <c r="A38" s="45" t="inlineStr">
        <is>
          <t xml:space="preserve">  Late Fees</t>
        </is>
      </c>
      <c r="B38" s="43" t="inlineStr">
        <is>
          <t>$25.00</t>
        </is>
      </c>
    </row>
    <row r="39">
      <c r="A39" s="45" t="inlineStr">
        <is>
          <t xml:space="preserve">  Attorney / Legal Fees</t>
        </is>
      </c>
      <c r="B39" s="43" t="inlineStr">
        <is>
          <t>$0.00</t>
        </is>
      </c>
    </row>
    <row r="40">
      <c r="A40" s="45" t="inlineStr">
        <is>
          <t xml:space="preserve">  Other Charges</t>
        </is>
      </c>
      <c r="B40" s="43" t="inlineStr">
        <is>
          <t>$25.00</t>
        </is>
      </c>
    </row>
    <row r="41">
      <c r="A41" s="42" t="inlineStr">
        <is>
          <t>NOLA Parse Variance</t>
        </is>
      </c>
      <c r="B41" s="43" t="inlineStr">
        <is>
          <t>$0.00</t>
        </is>
      </c>
    </row>
    <row r="42">
      <c r="A42" s="42" t="inlineStr">
        <is>
          <t>Monthly Assessment Rate</t>
        </is>
      </c>
      <c r="B42" s="43" t="inlineStr">
        <is>
          <t>$269.00</t>
        </is>
      </c>
    </row>
    <row r="43">
      <c r="A43" s="42" t="inlineStr"/>
      <c r="B43" s="43" t="inlineStr"/>
    </row>
    <row r="44">
      <c r="A44" s="42" t="inlineStr">
        <is>
          <t>POST-NOLA VARIABLES (charges after NOLA date)</t>
        </is>
      </c>
      <c r="B44" s="43" t="inlineStr"/>
    </row>
    <row r="45">
      <c r="A45" s="45" t="inlineStr">
        <is>
          <t xml:space="preserve">  10/01/2025 — Maintenance Fee 2025</t>
        </is>
      </c>
      <c r="B45" s="43" t="inlineStr">
        <is>
          <t>$269.00 [ledger]</t>
        </is>
      </c>
    </row>
    <row r="46">
      <c r="A46" s="45" t="inlineStr">
        <is>
          <t xml:space="preserve">  11/01/2025 — Maintenance Fee 2025</t>
        </is>
      </c>
      <c r="B46" s="43" t="inlineStr">
        <is>
          <t>$269.00 [ledger]</t>
        </is>
      </c>
    </row>
    <row r="47">
      <c r="A47" s="45" t="inlineStr">
        <is>
          <t xml:space="preserve">  12/01/2025 — Assessment — December 2025 (catch-up)</t>
        </is>
      </c>
      <c r="B47" s="43" t="inlineStr">
        <is>
          <t>$269.00 [ledger]</t>
        </is>
      </c>
    </row>
    <row r="48">
      <c r="A48" s="45" t="inlineStr">
        <is>
          <t xml:space="preserve">  01/01/2026 — Assessment — January 2026 (catch-up)</t>
        </is>
      </c>
      <c r="B48" s="43" t="inlineStr">
        <is>
          <t>$269.00 [ledger]</t>
        </is>
      </c>
    </row>
    <row r="49">
      <c r="A49" s="45" t="inlineStr">
        <is>
          <t xml:space="preserve">  02/01/2026 — Assessment — February 2026 (catch-up)</t>
        </is>
      </c>
      <c r="B49" s="43" t="inlineStr">
        <is>
          <t>$269.00 [ledger]</t>
        </is>
      </c>
    </row>
    <row r="50">
      <c r="A50" s="45" t="inlineStr">
        <is>
          <t xml:space="preserve">  03/01/2026 — Assessment — March 2026 (catch-up)</t>
        </is>
      </c>
      <c r="B50" s="43" t="inlineStr">
        <is>
          <t>$269.00 [ledger]</t>
        </is>
      </c>
    </row>
    <row r="51">
      <c r="A51" s="45" t="inlineStr">
        <is>
          <t xml:space="preserve">  Total Post-NOLA Charges</t>
        </is>
      </c>
      <c r="B51" s="43" t="inlineStr">
        <is>
          <t>$1614.00</t>
        </is>
      </c>
    </row>
    <row r="52">
      <c r="A52" s="45" t="inlineStr">
        <is>
          <t xml:space="preserve">  Total Post-NOLA Payments</t>
        </is>
      </c>
      <c r="B52" s="43" t="inlineStr">
        <is>
          <t>-$0.00</t>
        </is>
      </c>
    </row>
    <row r="53">
      <c r="A53" s="45" t="inlineStr">
        <is>
          <t xml:space="preserve">  Net Post-NOLA</t>
        </is>
      </c>
      <c r="B53" s="43" t="inlineStr">
        <is>
          <t>$1614.00</t>
        </is>
      </c>
    </row>
    <row r="54">
      <c r="A54" s="42" t="inlineStr"/>
      <c r="B54" s="43" t="inlineStr"/>
    </row>
    <row r="55">
      <c r="A55" s="42" t="inlineStr">
        <is>
          <t>ATTORNEY-ENTERED CHARGES (below the line)</t>
        </is>
      </c>
      <c r="B55" s="43" t="inlineStr"/>
    </row>
    <row r="56">
      <c r="A56" s="42" t="inlineStr">
        <is>
          <t>Certified Mail / Service Charges</t>
        </is>
      </c>
      <c r="B56" s="43" t="inlineStr">
        <is>
          <t>$40.00</t>
        </is>
      </c>
    </row>
    <row r="57">
      <c r="A57" s="42" t="inlineStr">
        <is>
          <t>Other Attorney Costs</t>
        </is>
      </c>
      <c r="B57" s="43" t="inlineStr">
        <is>
          <t>$16.00</t>
        </is>
      </c>
    </row>
    <row r="58">
      <c r="A58" s="42" t="inlineStr">
        <is>
          <t>Attorney's Fees</t>
        </is>
      </c>
      <c r="B58" s="43" t="inlineStr">
        <is>
          <t>$400.00</t>
        </is>
      </c>
    </row>
    <row r="59">
      <c r="A59" s="45" t="inlineStr">
        <is>
          <t xml:space="preserve">  Subtotal Attorney Charges</t>
        </is>
      </c>
      <c r="B59" s="43" t="inlineStr">
        <is>
          <t>$456.00</t>
        </is>
      </c>
    </row>
    <row r="60">
      <c r="A60" s="42" t="inlineStr"/>
      <c r="B60" s="43" t="inlineStr"/>
    </row>
    <row r="61">
      <c r="A61" s="36" t="inlineStr">
        <is>
          <t>COMPUTED TOTALS</t>
        </is>
      </c>
      <c r="B61" s="36" t="inlineStr"/>
    </row>
    <row r="62">
      <c r="A62" s="42" t="inlineStr">
        <is>
          <t>NOLA Balance</t>
        </is>
      </c>
      <c r="B62" s="43" t="inlineStr">
        <is>
          <t>$893.21</t>
        </is>
      </c>
    </row>
    <row r="63">
      <c r="A63" s="42" t="inlineStr">
        <is>
          <t>+ Post-NOLA Net Charges</t>
        </is>
      </c>
      <c r="B63" s="43" t="inlineStr">
        <is>
          <t>$1614.00</t>
        </is>
      </c>
    </row>
    <row r="64">
      <c r="A64" s="46" t="inlineStr">
        <is>
          <t>SUBTOTAL (Association)</t>
        </is>
      </c>
      <c r="B64" s="46" t="inlineStr">
        <is>
          <t>$2507.21</t>
        </is>
      </c>
    </row>
    <row r="65">
      <c r="A65" s="42" t="inlineStr">
        <is>
          <t>+ Attorney Charges</t>
        </is>
      </c>
      <c r="B65" s="43" t="inlineStr">
        <is>
          <t>$456.00</t>
        </is>
      </c>
    </row>
    <row r="66">
      <c r="A66" s="46" t="inlineStr">
        <is>
          <t>TOTAL OUTSTANDING</t>
        </is>
      </c>
      <c r="B66" s="46" t="inlineStr">
        <is>
          <t>$3113.21</t>
        </is>
      </c>
    </row>
    <row r="67">
      <c r="A67" s="42" t="inlineStr"/>
      <c r="B67" s="43" t="inlineStr"/>
    </row>
    <row r="68">
      <c r="A68" s="36" t="inlineStr">
        <is>
          <t>VERIFICATION</t>
        </is>
      </c>
      <c r="B68" s="36" t="inlineStr"/>
    </row>
    <row r="69">
      <c r="A69" s="42" t="inlineStr">
        <is>
          <t>SOA Total (Sheet 1)</t>
        </is>
      </c>
      <c r="B69" s="43" t="inlineStr">
        <is>
          <t>$3113.21</t>
        </is>
      </c>
    </row>
    <row r="70">
      <c r="A70" s="42" t="inlineStr">
        <is>
          <t>NOLA-Ledger TOTALS (Sheet 2)</t>
        </is>
      </c>
      <c r="B70" s="43" t="inlineStr">
        <is>
          <t>Sheet 2 running balance</t>
        </is>
      </c>
    </row>
    <row r="71">
      <c r="A71" s="42" t="inlineStr">
        <is>
          <t>Demand Letter Total</t>
        </is>
      </c>
      <c r="B71" s="43" t="inlineStr">
        <is>
          <t>$3113.21</t>
        </is>
      </c>
    </row>
    <row r="72">
      <c r="A72" s="42" t="inlineStr">
        <is>
          <t>All Three Match?</t>
        </is>
      </c>
      <c r="B72" s="43" t="inlineStr">
        <is>
          <t>YES — Single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2026-03-24T18:40:15Z</dcterms:created>
  <dcterms:modified xmlns:dcterms="http://purl.org/dc/terms/" xmlns:xsi="http://www.w3.org/2001/XMLSchema-instance" xsi:type="dcterms:W3CDTF">2026-03-24T18:40:15Z</dcterms:modified>
</cp:coreProperties>
</file>